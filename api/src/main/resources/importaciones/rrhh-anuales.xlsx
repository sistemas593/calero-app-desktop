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esktop\"/>
    </mc:Choice>
  </mc:AlternateContent>
  <xr:revisionPtr revIDLastSave="0" documentId="13_ncr:1_{B384DAB2-8B8B-406A-85AB-051DCB9C2FB2}" xr6:coauthVersionLast="36" xr6:coauthVersionMax="36" xr10:uidLastSave="{00000000-0000-0000-0000-000000000000}"/>
  <bookViews>
    <workbookView xWindow="0" yWindow="0" windowWidth="28800" windowHeight="12105" xr2:uid="{E7F06A7C-E38B-4AC9-988E-9B9F8C364F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W10" i="1" s="1"/>
  <c r="K9" i="1"/>
  <c r="W9" i="1" s="1"/>
  <c r="K8" i="1"/>
  <c r="W8" i="1" s="1"/>
  <c r="K7" i="1"/>
  <c r="W7" i="1" s="1"/>
  <c r="K6" i="1"/>
  <c r="W6" i="1" s="1"/>
  <c r="K5" i="1"/>
  <c r="W5" i="1" s="1"/>
  <c r="K4" i="1"/>
  <c r="W4" i="1" s="1"/>
  <c r="K3" i="1"/>
  <c r="W3" i="1" s="1"/>
  <c r="K2" i="1"/>
  <c r="W2" i="1" s="1"/>
</calcChain>
</file>

<file path=xl/sharedStrings.xml><?xml version="1.0" encoding="utf-8"?>
<sst xmlns="http://schemas.openxmlformats.org/spreadsheetml/2006/main" count="44" uniqueCount="36">
  <si>
    <t>Número de cédula o pasaporte</t>
  </si>
  <si>
    <t>Sueldos y salarios</t>
  </si>
  <si>
    <t>Sobresueldos, comisiones y otras remuneraciones gravadas de I.Renta (materia gravada de seguridad social)</t>
  </si>
  <si>
    <t>Otros ingresos gravados de I.Renta (maeteria NO gravada de seguridad social)</t>
  </si>
  <si>
    <t>Décimo tercer sueldo</t>
  </si>
  <si>
    <t>Décimo cuarto sueldo</t>
  </si>
  <si>
    <t>Fondos de Reserva</t>
  </si>
  <si>
    <t>Compensación económica Salario Digno</t>
  </si>
  <si>
    <t>Participación utilidades</t>
  </si>
  <si>
    <t>Otros ingresos en relación de dependencia que no constituyen renta gravada, Dshaucui</t>
  </si>
  <si>
    <t>Aporte personal (únicamente pagado por el empleado)</t>
  </si>
  <si>
    <t>Deducible vivienda (Anual)</t>
  </si>
  <si>
    <t>Deducible salud (Anual)</t>
  </si>
  <si>
    <t>Deducible educación  (Anual)</t>
  </si>
  <si>
    <t>Deducible alimentación   (Anual)</t>
  </si>
  <si>
    <t>Deducible vestimenta   (Anual)</t>
  </si>
  <si>
    <t>Deducible turismo (Anual)</t>
  </si>
  <si>
    <t>Rebajas especiales Discapacitados (Anual)</t>
  </si>
  <si>
    <t>Rebajas especiales Tercera Edad (Anual)</t>
  </si>
  <si>
    <t>Impuesto a  la renta asumido por el empleador</t>
  </si>
  <si>
    <t>Ingresos gravados otros empleadores(Anual)</t>
  </si>
  <si>
    <t>Rebajas otros empleadores IESS (Anual)</t>
  </si>
  <si>
    <t>Base imponible ( Igual a la suma de todos los formularios 103)</t>
  </si>
  <si>
    <t>Valor retenido</t>
  </si>
  <si>
    <t>Retenido y asumido por otros empleadores</t>
  </si>
  <si>
    <t>Fecha de registro</t>
  </si>
  <si>
    <t>0910521939</t>
  </si>
  <si>
    <t>0914748546</t>
  </si>
  <si>
    <t>0910597723</t>
  </si>
  <si>
    <t>0702572231</t>
  </si>
  <si>
    <t>1710718477</t>
  </si>
  <si>
    <t>1713760534</t>
  </si>
  <si>
    <t>0924773500</t>
  </si>
  <si>
    <t>0915718670</t>
  </si>
  <si>
    <t>0911429561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</si>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</sst>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  <xf numFmtId="14" fontId="0" fillId="0" borderId="0" xfId="0" applyNumberFormat="1"/>
    <xf numFmtId="49" fontId="2" fillId="0" borderId="0" xfId="0" applyNumberFormat="1" applyFont="1"/>
    <xf numFmtId="49" fontId="0" fillId="0" borderId="0" xfId="0" applyNumberFormat="1"/>
    <xf numFmtId="2" fontId="0" fillId="0" borderId="0" xfId="0" applyNumberFormat="1" applyAlignment="1">
      <alignment horizontal="right"/>
    </xf>
    <xf numFmtId="2" fontId="3" fillId="0" borderId="0" xfId="0" applyNumberFormat="1" applyFont="1"/>
    <xf numFmtId="2" fontId="4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89EB-D021-4391-85F8-8E31F65C86DD}">
  <dimension ref="A1:Z11"/>
  <sheetViews>
    <sheetView tabSelected="1" topLeftCell="N1" workbookViewId="0">
      <selection activeCell="Z10" sqref="Z10"/>
    </sheetView>
  </sheetViews>
  <sheetFormatPr baseColWidth="10" defaultRowHeight="15" x14ac:dyDescent="0.25"/>
  <cols>
    <col min="26" max="26" width="26.85546875" customWidth="1"/>
  </cols>
  <sheetData>
    <row r="1" spans="1:26" x14ac:dyDescent="0.25">
      <c r="A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5" t="s">
        <v>22</v>
      </c>
      <c r="X1" s="2" t="s">
        <v>23</v>
      </c>
      <c r="Y1" s="2" t="s">
        <v>24</v>
      </c>
      <c r="Z1" s="6" t="s">
        <v>25</v>
      </c>
    </row>
    <row r="2" spans="1:26" x14ac:dyDescent="0.25">
      <c r="A2" s="7" t="s">
        <v>26</v>
      </c>
      <c r="B2" s="5">
        <v>52427.53</v>
      </c>
      <c r="C2" s="4">
        <v>0</v>
      </c>
      <c r="D2" s="4">
        <v>100</v>
      </c>
      <c r="E2" s="4">
        <v>4368.96</v>
      </c>
      <c r="F2" s="4">
        <v>353.22</v>
      </c>
      <c r="G2" s="4">
        <v>0</v>
      </c>
      <c r="H2" s="4">
        <v>0</v>
      </c>
      <c r="I2" s="4">
        <v>0</v>
      </c>
      <c r="J2" s="4">
        <v>3519.66</v>
      </c>
      <c r="K2" s="4">
        <f>ROUNDDOWN((B2+C2)*0.0945,2)</f>
        <v>4954.3999999999996</v>
      </c>
      <c r="L2" s="4">
        <v>3300</v>
      </c>
      <c r="M2" s="4">
        <v>3000</v>
      </c>
      <c r="N2" s="4">
        <v>1200</v>
      </c>
      <c r="O2" s="4">
        <v>1800</v>
      </c>
      <c r="P2" s="4">
        <v>0</v>
      </c>
      <c r="Q2" s="4">
        <v>3643.9</v>
      </c>
      <c r="R2" s="4">
        <v>0</v>
      </c>
      <c r="S2" s="4">
        <v>0</v>
      </c>
      <c r="T2" s="4">
        <v>0</v>
      </c>
      <c r="U2" s="4">
        <v>6500</v>
      </c>
      <c r="V2" s="4">
        <v>720</v>
      </c>
      <c r="W2" s="5">
        <f>B2+C2+D2+I2+U2+T2-K2-R2-S2-V2</f>
        <v>53353.13</v>
      </c>
      <c r="X2" s="4">
        <v>4524.9799999999996</v>
      </c>
      <c r="Y2" s="4">
        <v>0</v>
      </c>
      <c r="Z2" s="7" t="s">
        <v>35</v>
      </c>
    </row>
    <row r="3" spans="1:26" x14ac:dyDescent="0.25">
      <c r="A3" s="8" t="s">
        <v>27</v>
      </c>
      <c r="B3" s="1">
        <v>50088</v>
      </c>
      <c r="C3" s="2">
        <v>0</v>
      </c>
      <c r="D3" s="2">
        <v>0</v>
      </c>
      <c r="E3" s="2">
        <v>2087</v>
      </c>
      <c r="F3" s="2">
        <v>340</v>
      </c>
      <c r="G3" s="9">
        <v>2086.14</v>
      </c>
      <c r="H3" s="2">
        <v>0</v>
      </c>
      <c r="I3" s="2">
        <v>0</v>
      </c>
      <c r="J3" s="2">
        <v>0</v>
      </c>
      <c r="K3" s="4">
        <f t="shared" ref="K3:K10" si="0">ROUNDDOWN((B3+C3)*0.0945,2)</f>
        <v>4733.3100000000004</v>
      </c>
      <c r="L3" s="2">
        <v>0</v>
      </c>
      <c r="M3" s="4">
        <v>5000</v>
      </c>
      <c r="N3" s="2">
        <v>0</v>
      </c>
      <c r="O3" s="2">
        <v>0</v>
      </c>
      <c r="P3" s="2">
        <v>0</v>
      </c>
      <c r="Q3" s="4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5">
        <f t="shared" ref="W3:W10" si="1">B3+C3+D3+I3+U3+T3-K3-R3-S3-V3</f>
        <v>45354.69</v>
      </c>
      <c r="X3" s="2">
        <v>2516.1999999999998</v>
      </c>
      <c r="Y3" s="2">
        <v>0</v>
      </c>
      <c r="Z3" s="7" t="s">
        <v>35</v>
      </c>
    </row>
    <row r="4" spans="1:26" x14ac:dyDescent="0.25">
      <c r="A4" s="8" t="s">
        <v>28</v>
      </c>
      <c r="B4" s="1">
        <v>8340</v>
      </c>
      <c r="C4" s="2">
        <v>2453.4</v>
      </c>
      <c r="D4" s="2">
        <v>0</v>
      </c>
      <c r="E4" s="2">
        <v>916.85</v>
      </c>
      <c r="F4" s="2">
        <v>340</v>
      </c>
      <c r="G4" s="9">
        <v>878.26999999999987</v>
      </c>
      <c r="H4" s="2">
        <v>0</v>
      </c>
      <c r="I4" s="2">
        <v>0</v>
      </c>
      <c r="J4" s="2">
        <v>0</v>
      </c>
      <c r="K4" s="4">
        <f t="shared" si="0"/>
        <v>1019.97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4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5">
        <f t="shared" si="1"/>
        <v>9773.43</v>
      </c>
      <c r="X4" s="2">
        <v>0</v>
      </c>
      <c r="Y4" s="2">
        <v>0</v>
      </c>
      <c r="Z4" s="7" t="s">
        <v>35</v>
      </c>
    </row>
    <row r="5" spans="1:26" x14ac:dyDescent="0.25">
      <c r="A5" s="8" t="s">
        <v>29</v>
      </c>
      <c r="B5" s="1">
        <v>527</v>
      </c>
      <c r="C5" s="2">
        <v>0</v>
      </c>
      <c r="D5" s="2">
        <v>0</v>
      </c>
      <c r="E5" s="2">
        <v>43.92</v>
      </c>
      <c r="F5" s="2">
        <v>169.98</v>
      </c>
      <c r="G5" s="9">
        <v>43.9</v>
      </c>
      <c r="H5" s="2">
        <v>0</v>
      </c>
      <c r="I5" s="2">
        <v>0</v>
      </c>
      <c r="J5" s="2">
        <v>671.22</v>
      </c>
      <c r="K5" s="4">
        <f t="shared" si="0"/>
        <v>49.8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4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5">
        <f t="shared" si="1"/>
        <v>477.2</v>
      </c>
      <c r="X5" s="2">
        <v>0</v>
      </c>
      <c r="Y5" s="2">
        <v>0</v>
      </c>
      <c r="Z5" s="7" t="s">
        <v>35</v>
      </c>
    </row>
    <row r="6" spans="1:26" x14ac:dyDescent="0.25">
      <c r="A6" s="8" t="s">
        <v>30</v>
      </c>
      <c r="B6" s="1">
        <v>42713.93</v>
      </c>
      <c r="C6" s="2">
        <v>0</v>
      </c>
      <c r="D6" s="2">
        <v>0</v>
      </c>
      <c r="E6" s="2">
        <v>3559.49</v>
      </c>
      <c r="F6" s="2">
        <v>340</v>
      </c>
      <c r="G6" s="9">
        <v>2862.65</v>
      </c>
      <c r="H6" s="2">
        <v>0</v>
      </c>
      <c r="I6" s="2">
        <v>0</v>
      </c>
      <c r="J6" s="2">
        <v>0</v>
      </c>
      <c r="K6" s="4">
        <f t="shared" si="0"/>
        <v>4036.46</v>
      </c>
      <c r="L6" s="2">
        <v>1690</v>
      </c>
      <c r="M6" s="2">
        <v>3300</v>
      </c>
      <c r="N6" s="2">
        <v>3380</v>
      </c>
      <c r="O6" s="2">
        <v>3360</v>
      </c>
      <c r="P6" s="2">
        <v>1800</v>
      </c>
      <c r="Q6" s="4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5">
        <f t="shared" si="1"/>
        <v>38677.47</v>
      </c>
      <c r="X6" s="2">
        <v>2545.34</v>
      </c>
      <c r="Y6" s="2">
        <v>0</v>
      </c>
      <c r="Z6" s="7" t="s">
        <v>35</v>
      </c>
    </row>
    <row r="7" spans="1:26" x14ac:dyDescent="0.25">
      <c r="A7" s="8" t="s">
        <v>31</v>
      </c>
      <c r="B7" s="1">
        <v>6597</v>
      </c>
      <c r="C7" s="2">
        <v>342.07</v>
      </c>
      <c r="D7" s="2">
        <v>0</v>
      </c>
      <c r="E7" s="2">
        <v>578.26</v>
      </c>
      <c r="F7" s="2">
        <v>125.43</v>
      </c>
      <c r="G7" s="2">
        <v>0</v>
      </c>
      <c r="H7" s="2">
        <v>0</v>
      </c>
      <c r="I7" s="2">
        <v>0</v>
      </c>
      <c r="J7" s="2">
        <v>0</v>
      </c>
      <c r="K7" s="4">
        <f t="shared" si="0"/>
        <v>655.74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4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5">
        <f t="shared" si="1"/>
        <v>6283.33</v>
      </c>
      <c r="X7" s="2">
        <v>0</v>
      </c>
      <c r="Y7" s="2">
        <v>0</v>
      </c>
      <c r="Z7" s="7" t="s">
        <v>35</v>
      </c>
    </row>
    <row r="8" spans="1:26" x14ac:dyDescent="0.25">
      <c r="A8" s="8" t="s">
        <v>32</v>
      </c>
      <c r="B8" s="1">
        <v>0</v>
      </c>
      <c r="C8" s="2">
        <v>0</v>
      </c>
      <c r="D8" s="2">
        <v>0</v>
      </c>
      <c r="E8" s="2">
        <v>505</v>
      </c>
      <c r="F8" s="2">
        <v>79.5</v>
      </c>
      <c r="G8" s="2">
        <v>0</v>
      </c>
      <c r="H8" s="2">
        <v>0</v>
      </c>
      <c r="I8" s="2">
        <v>0</v>
      </c>
      <c r="J8" s="2">
        <v>1074.6400000000001</v>
      </c>
      <c r="K8" s="4">
        <f t="shared" si="0"/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4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5">
        <f t="shared" si="1"/>
        <v>0</v>
      </c>
      <c r="X8" s="2">
        <v>0</v>
      </c>
      <c r="Y8" s="2">
        <v>0</v>
      </c>
      <c r="Z8" s="7" t="s">
        <v>35</v>
      </c>
    </row>
    <row r="9" spans="1:26" x14ac:dyDescent="0.25">
      <c r="A9" s="8" t="s">
        <v>33</v>
      </c>
      <c r="B9" s="1">
        <v>0</v>
      </c>
      <c r="C9" s="10">
        <v>0</v>
      </c>
      <c r="D9" s="2">
        <v>0</v>
      </c>
      <c r="E9" s="2">
        <v>48.75</v>
      </c>
      <c r="F9" s="2">
        <v>26.5</v>
      </c>
      <c r="G9" s="2">
        <v>0</v>
      </c>
      <c r="H9" s="2">
        <v>0</v>
      </c>
      <c r="I9" s="2">
        <v>0</v>
      </c>
      <c r="J9" s="2">
        <v>47.19</v>
      </c>
      <c r="K9" s="4">
        <f t="shared" si="0"/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4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5">
        <f t="shared" si="1"/>
        <v>0</v>
      </c>
      <c r="X9" s="2">
        <v>0</v>
      </c>
      <c r="Y9" s="2">
        <v>0</v>
      </c>
      <c r="Z9" s="7" t="s">
        <v>35</v>
      </c>
    </row>
    <row r="10" spans="1:26" x14ac:dyDescent="0.25">
      <c r="A10" s="8" t="s">
        <v>34</v>
      </c>
      <c r="B10" s="1">
        <v>1698</v>
      </c>
      <c r="C10" s="2">
        <v>443.68</v>
      </c>
      <c r="D10" s="11">
        <v>0</v>
      </c>
      <c r="E10" s="2">
        <v>178.47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4">
        <f t="shared" si="0"/>
        <v>202.38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4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5">
        <f t="shared" si="1"/>
        <v>1939.2999999999997</v>
      </c>
      <c r="X10" s="2">
        <v>0</v>
      </c>
      <c r="Y10" s="12">
        <v>0</v>
      </c>
      <c r="Z10" s="7" t="s">
        <v>35</v>
      </c>
    </row>
    <row r="11" spans="1:26" x14ac:dyDescent="0.25">
      <c r="Z1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2026-02-09T19:57:34Z</dcterms:created>
  <dcterms:modified xsi:type="dcterms:W3CDTF">2026-02-09T20:14:24Z</dcterms:modified>
</cp:coreProperties>
</file>