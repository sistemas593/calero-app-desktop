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smael\Downloads\subir\"/>
    </mc:Choice>
  </mc:AlternateContent>
  <xr:revisionPtr revIDLastSave="0" documentId="13_ncr:1_{BA045739-2002-4DF1-A2DD-211D2BE72FAB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Hoja1" sheetId="1" r:id="rId1"/>
    <sheet name="Datos" sheetId="2" r:id="rId2"/>
  </sheets>
  <calcPr calcId="191029"/>
</workbook>
</file>

<file path=xl/calcChain.xml><?xml version="1.0" encoding="utf-8"?>
<calcChain xmlns="http://schemas.openxmlformats.org/spreadsheetml/2006/main">
  <c r="K2" i="1" l="1"/>
</calcChain>
</file>

<file path=xl/sharedStrings.xml><?xml version="1.0" encoding="utf-8"?>
<sst xmlns="http://schemas.openxmlformats.org/spreadsheetml/2006/main" count="35" uniqueCount="24">
  <si>
    <t>AÑO</t>
  </si>
  <si>
    <t>Número de cédula o pasaporte</t>
  </si>
  <si>
    <t>Sueldos y salarios</t>
  </si>
  <si>
    <t>Sobresueldos, comisiones y otras remuneraciones gravadas de I.Renta (materia gravada de seguridad social)</t>
  </si>
  <si>
    <t>Otros ingresos gravados de I.Renta (maeteria NO gravada de seguridad social)</t>
  </si>
  <si>
    <t>Décimo tercer sueldo</t>
  </si>
  <si>
    <t>Décimo cuarto sueldo</t>
  </si>
  <si>
    <t>Fondos de Reserva</t>
  </si>
  <si>
    <t>Participación utilidades</t>
  </si>
  <si>
    <t>Otros ingresos en relación de dependencia que no constituyen renta gravada</t>
  </si>
  <si>
    <t>Aporte personal IESS (únicamente pagado por el empleado)</t>
  </si>
  <si>
    <t>Impuesto a la renta asumido por el empleador</t>
  </si>
  <si>
    <t xml:space="preserve">0101328524   </t>
  </si>
  <si>
    <t>Sobresueldos, comisiones y otras remuneraciones gravadas de I.Renta (materia NO gravada de seguridad social)</t>
  </si>
  <si>
    <t>1103779078</t>
  </si>
  <si>
    <t>0703166934</t>
  </si>
  <si>
    <t>1103853444</t>
  </si>
  <si>
    <t>1103915706</t>
  </si>
  <si>
    <t>1104418049</t>
  </si>
  <si>
    <t>0906049507</t>
  </si>
  <si>
    <t>0906297486</t>
  </si>
  <si>
    <t>1100449204</t>
  </si>
  <si>
    <t>PERIODO</t>
  </si>
  <si>
    <t>2026-01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</si>
</sst>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name val="Calibri"/>
      <family val="2"/>
    </font>
    <font>
      <sz val="11"/>
      <name val="Calibri"/>
      <family val="2"/>
    </font>
    <font>
      <sz val="11"/>
      <color indexed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2" fontId="0" fillId="0" borderId="0" xfId="0" applyNumberFormat="1"/>
    <xf numFmtId="2" fontId="0" fillId="0" borderId="0" xfId="0" applyNumberFormat="1" applyAlignment="1">
      <alignment horizontal="right"/>
    </xf>
    <xf numFmtId="0" fontId="3" fillId="0" borderId="0" xfId="0" applyFont="1"/>
    <xf numFmtId="0" fontId="4" fillId="0" borderId="0" xfId="0" applyFont="1"/>
    <xf numFmtId="2" fontId="4" fillId="0" borderId="0" xfId="0" applyNumberFormat="1" applyFont="1"/>
    <xf numFmtId="49" fontId="4" fillId="0" borderId="0" xfId="0" applyNumberFormat="1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 wrapText="1"/>
    </xf>
    <xf numFmtId="2" fontId="0" fillId="0" borderId="0" xfId="0" applyNumberFormat="1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2" fontId="5" fillId="0" borderId="0" xfId="0" applyNumberFormat="1" applyFont="1" applyAlignment="1">
      <alignment wrapText="1"/>
    </xf>
    <xf numFmtId="49" fontId="3" fillId="0" borderId="0" xfId="0" applyNumberFormat="1" applyFont="1" applyFill="1" applyBorder="1" applyAlignment="1">
      <alignment horizontal="left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"/>
  <sheetViews>
    <sheetView tabSelected="1" workbookViewId="0">
      <selection activeCell="B2" sqref="B2"/>
    </sheetView>
  </sheetViews>
  <sheetFormatPr baseColWidth="10" defaultRowHeight="15" x14ac:dyDescent="0.25"/>
  <cols>
    <col min="2" max="2" width="21.7109375" customWidth="1"/>
    <col min="4" max="4" width="39.28515625" customWidth="1"/>
    <col min="5" max="5" width="29.7109375" customWidth="1"/>
  </cols>
  <sheetData>
    <row r="1" spans="1:13" s="10" customFormat="1" ht="53.45" customHeight="1" x14ac:dyDescent="0.25">
      <c r="A1" s="9" t="s">
        <v>22</v>
      </c>
      <c r="B1" s="10" t="s">
        <v>1</v>
      </c>
      <c r="C1" s="8" t="s">
        <v>2</v>
      </c>
      <c r="D1" s="11" t="s">
        <v>3</v>
      </c>
      <c r="E1" s="11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</row>
    <row r="2" spans="1:13" s="4" customFormat="1" x14ac:dyDescent="0.25">
      <c r="A2" s="3" t="s">
        <v>23</v>
      </c>
      <c r="B2" s="12" t="s">
        <v>20</v>
      </c>
      <c r="C2" s="5">
        <v>800</v>
      </c>
      <c r="D2" s="5">
        <v>0</v>
      </c>
      <c r="E2" s="5">
        <v>100</v>
      </c>
      <c r="F2" s="5">
        <v>4368.96</v>
      </c>
      <c r="G2" s="5">
        <v>353.22</v>
      </c>
      <c r="H2" s="5">
        <v>0</v>
      </c>
      <c r="I2" s="5">
        <v>0</v>
      </c>
      <c r="J2" s="5">
        <v>3519.66</v>
      </c>
      <c r="K2" s="5">
        <f>(C2+D2)*0.0945</f>
        <v>75.599999999999994</v>
      </c>
      <c r="L2" s="5">
        <v>0</v>
      </c>
      <c r="M2" s="5"/>
    </row>
  </sheetData>
  <pageMargins left="0.7" right="0.7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"/>
  <sheetViews>
    <sheetView workbookViewId="0">
      <selection activeCell="A2" sqref="A1:IV2"/>
    </sheetView>
  </sheetViews>
  <sheetFormatPr baseColWidth="10" defaultRowHeight="15" x14ac:dyDescent="0.25"/>
  <cols>
    <col min="1" max="1" width="11.5703125" style="3"/>
    <col min="2" max="2" width="28.5703125" customWidth="1"/>
    <col min="3" max="3" width="16.7109375" customWidth="1"/>
    <col min="4" max="5" width="39.5703125" customWidth="1"/>
    <col min="6" max="6" width="20" customWidth="1"/>
    <col min="7" max="7" width="20.28515625" customWidth="1"/>
    <col min="8" max="8" width="17.7109375" customWidth="1"/>
    <col min="9" max="9" width="22" customWidth="1"/>
    <col min="10" max="10" width="79.42578125" customWidth="1"/>
    <col min="11" max="11" width="54.7109375" customWidth="1"/>
    <col min="12" max="12" width="42.5703125" customWidth="1"/>
    <col min="13" max="13" width="37.140625" customWidth="1"/>
  </cols>
  <sheetData>
    <row r="1" spans="1:13" s="10" customFormat="1" ht="53.45" customHeight="1" x14ac:dyDescent="0.25">
      <c r="A1" s="9" t="s">
        <v>0</v>
      </c>
      <c r="B1" s="10" t="s">
        <v>1</v>
      </c>
      <c r="C1" s="8" t="s">
        <v>2</v>
      </c>
      <c r="D1" s="11" t="s">
        <v>3</v>
      </c>
      <c r="E1" s="11" t="s">
        <v>13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</row>
    <row r="2" spans="1:13" s="4" customFormat="1" x14ac:dyDescent="0.25">
      <c r="A2" s="4">
        <v>2023</v>
      </c>
      <c r="B2" s="6" t="s">
        <v>12</v>
      </c>
      <c r="C2" s="5">
        <v>800</v>
      </c>
      <c r="D2" s="5">
        <v>0</v>
      </c>
      <c r="E2" s="5">
        <v>100</v>
      </c>
      <c r="F2" s="5">
        <v>4368.96</v>
      </c>
      <c r="G2" s="5">
        <v>353.22</v>
      </c>
      <c r="H2" s="5">
        <v>0</v>
      </c>
      <c r="I2" s="5">
        <v>0</v>
      </c>
      <c r="J2" s="5">
        <v>3519.66</v>
      </c>
      <c r="K2" s="5">
        <v>200</v>
      </c>
      <c r="L2" s="5">
        <v>0</v>
      </c>
      <c r="M2" s="5"/>
    </row>
    <row r="3" spans="1:13" x14ac:dyDescent="0.25">
      <c r="A3" s="4">
        <v>2023</v>
      </c>
      <c r="B3" s="7" t="s">
        <v>14</v>
      </c>
      <c r="C3" s="1">
        <v>1200</v>
      </c>
      <c r="D3" s="1">
        <v>0</v>
      </c>
      <c r="E3" s="1"/>
      <c r="F3" s="1">
        <v>2087</v>
      </c>
      <c r="G3" s="1">
        <v>340</v>
      </c>
      <c r="H3" s="2">
        <v>2086.14</v>
      </c>
      <c r="I3" s="1">
        <v>0</v>
      </c>
      <c r="J3" s="1">
        <v>0</v>
      </c>
      <c r="K3" s="1">
        <v>300</v>
      </c>
      <c r="L3" s="1">
        <v>0</v>
      </c>
      <c r="M3" s="1"/>
    </row>
    <row r="4" spans="1:13" x14ac:dyDescent="0.25">
      <c r="A4" s="4">
        <v>2023</v>
      </c>
      <c r="B4" s="7" t="s">
        <v>15</v>
      </c>
      <c r="C4" s="1">
        <v>1400</v>
      </c>
      <c r="D4" s="1">
        <v>25</v>
      </c>
      <c r="E4" s="1"/>
      <c r="F4" s="1">
        <v>916.85</v>
      </c>
      <c r="G4" s="1">
        <v>340</v>
      </c>
      <c r="H4" s="2">
        <v>878.26999999999987</v>
      </c>
      <c r="I4" s="1">
        <v>0</v>
      </c>
      <c r="J4" s="1">
        <v>0</v>
      </c>
      <c r="K4" s="1">
        <v>500</v>
      </c>
      <c r="L4" s="1">
        <v>0</v>
      </c>
      <c r="M4" s="1"/>
    </row>
    <row r="5" spans="1:13" x14ac:dyDescent="0.25">
      <c r="A5" s="4">
        <v>2023</v>
      </c>
      <c r="B5" s="7" t="s">
        <v>16</v>
      </c>
      <c r="C5" s="1">
        <v>2200</v>
      </c>
      <c r="D5" s="1">
        <v>0</v>
      </c>
      <c r="E5" s="1"/>
      <c r="F5" s="1">
        <v>43.92</v>
      </c>
      <c r="G5" s="1">
        <v>169.98</v>
      </c>
      <c r="H5" s="2">
        <v>43.9</v>
      </c>
      <c r="I5" s="1">
        <v>0</v>
      </c>
      <c r="J5" s="1">
        <v>671.22</v>
      </c>
      <c r="K5" s="1">
        <v>600</v>
      </c>
      <c r="L5" s="1">
        <v>0</v>
      </c>
      <c r="M5" s="1"/>
    </row>
    <row r="6" spans="1:13" x14ac:dyDescent="0.25">
      <c r="A6" s="4">
        <v>2023</v>
      </c>
      <c r="B6" s="7" t="s">
        <v>17</v>
      </c>
      <c r="C6" s="1">
        <v>3000</v>
      </c>
      <c r="D6" s="1">
        <v>0</v>
      </c>
      <c r="E6" s="1"/>
      <c r="F6" s="1">
        <v>3559.49</v>
      </c>
      <c r="G6" s="1">
        <v>340</v>
      </c>
      <c r="H6" s="2">
        <v>2862.65</v>
      </c>
      <c r="I6" s="1">
        <v>0</v>
      </c>
      <c r="J6" s="1">
        <v>0</v>
      </c>
      <c r="K6" s="1">
        <v>700</v>
      </c>
      <c r="L6" s="1">
        <v>0</v>
      </c>
      <c r="M6" s="1"/>
    </row>
    <row r="7" spans="1:13" x14ac:dyDescent="0.25">
      <c r="A7" s="4">
        <v>2023</v>
      </c>
      <c r="B7" s="7" t="s">
        <v>18</v>
      </c>
      <c r="C7" s="1">
        <v>5000</v>
      </c>
      <c r="D7" s="1">
        <v>342.07</v>
      </c>
      <c r="E7" s="1"/>
      <c r="F7" s="1">
        <v>578.26</v>
      </c>
      <c r="G7" s="1">
        <v>125.43</v>
      </c>
      <c r="H7" s="1">
        <v>0</v>
      </c>
      <c r="I7" s="1">
        <v>0</v>
      </c>
      <c r="J7" s="1">
        <v>0</v>
      </c>
      <c r="K7" s="1">
        <v>750</v>
      </c>
      <c r="L7" s="1">
        <v>0</v>
      </c>
      <c r="M7" s="1"/>
    </row>
    <row r="8" spans="1:13" x14ac:dyDescent="0.25">
      <c r="A8" s="4">
        <v>2023</v>
      </c>
      <c r="B8" s="7" t="s">
        <v>19</v>
      </c>
      <c r="C8" s="1">
        <v>6000</v>
      </c>
      <c r="D8" s="1">
        <v>0</v>
      </c>
      <c r="E8" s="1"/>
      <c r="F8" s="1">
        <v>505</v>
      </c>
      <c r="G8" s="1">
        <v>79.5</v>
      </c>
      <c r="H8" s="1">
        <v>0</v>
      </c>
      <c r="I8" s="1">
        <v>0</v>
      </c>
      <c r="J8" s="1">
        <v>1074.6400000000001</v>
      </c>
      <c r="K8" s="1">
        <v>900</v>
      </c>
      <c r="L8" s="1">
        <v>0</v>
      </c>
      <c r="M8" s="1"/>
    </row>
    <row r="9" spans="1:13" x14ac:dyDescent="0.25">
      <c r="A9" s="4">
        <v>2023</v>
      </c>
      <c r="B9" s="7" t="s">
        <v>20</v>
      </c>
      <c r="C9" s="1">
        <v>12000</v>
      </c>
      <c r="D9" s="1">
        <v>0</v>
      </c>
      <c r="E9" s="1"/>
      <c r="F9" s="1">
        <v>48.75</v>
      </c>
      <c r="G9" s="1">
        <v>26.5</v>
      </c>
      <c r="H9" s="1">
        <v>0</v>
      </c>
      <c r="I9" s="1">
        <v>0</v>
      </c>
      <c r="J9" s="1">
        <v>47.19</v>
      </c>
      <c r="K9" s="1">
        <v>2000</v>
      </c>
      <c r="L9" s="1">
        <v>0</v>
      </c>
      <c r="M9" s="1"/>
    </row>
    <row r="10" spans="1:13" x14ac:dyDescent="0.25">
      <c r="A10" s="4">
        <v>2023</v>
      </c>
      <c r="B10" s="7" t="s">
        <v>21</v>
      </c>
      <c r="C10" s="1">
        <v>15000</v>
      </c>
      <c r="D10" s="1">
        <v>443.68</v>
      </c>
      <c r="E10" s="1"/>
      <c r="F10" s="1">
        <v>178.47</v>
      </c>
      <c r="G10" s="1">
        <v>0</v>
      </c>
      <c r="H10" s="1">
        <v>0</v>
      </c>
      <c r="I10" s="1">
        <v>0</v>
      </c>
      <c r="J10" s="1">
        <v>0</v>
      </c>
      <c r="K10" s="1">
        <v>3500</v>
      </c>
      <c r="L10" s="1">
        <v>0</v>
      </c>
      <c r="M10" s="1"/>
    </row>
  </sheetData>
  <pageMargins left="0.7" right="0.7" top="0.75" bottom="0.75" header="0.3" footer="0.3"/>
  <pageSetup paperSize="9" orientation="portrait" horizontalDpi="0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VICEPRESIDENCIA</dc:creator>
  <cp:lastModifiedBy>Ismael</cp:lastModifiedBy>
  <dcterms:created xsi:type="dcterms:W3CDTF">2015-01-23T22:41:42Z</dcterms:created>
  <dcterms:modified xsi:type="dcterms:W3CDTF">2026-01-30T21:53:02Z</dcterms:modified>
</cp:coreProperties>
</file>