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mael\Documents\calero-app-desktop\api\src\main\resources\importaciones\"/>
    </mc:Choice>
  </mc:AlternateContent>
  <xr:revisionPtr revIDLastSave="0" documentId="13_ncr:1_{A684F566-DE01-41FB-A3E3-868514AF61C9}" xr6:coauthVersionLast="36" xr6:coauthVersionMax="36" xr10:uidLastSave="{00000000-0000-0000-0000-000000000000}"/>
  <bookViews>
    <workbookView xWindow="0" yWindow="0" windowWidth="28800" windowHeight="12105" xr2:uid="{D37E80EC-E639-4DD6-860C-2105308D7D22}"/>
  </bookViews>
  <sheets>
    <sheet name="Hoja1" sheetId="1" r:id="rId1"/>
  </sheets>
  <definedNames>
    <definedName name="_xlnm._FilterDatabase" localSheetId="0" hidden="1">Hoja1!$A$1:$A$83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83" i="1" l="1"/>
  <c r="T83" i="1"/>
  <c r="T82" i="1"/>
  <c r="T81" i="1"/>
  <c r="T80" i="1"/>
  <c r="T2" i="1" l="1"/>
  <c r="AH2" i="1"/>
  <c r="AJ2" i="1" s="1"/>
  <c r="T79" i="1" l="1"/>
  <c r="AH78" i="1"/>
  <c r="T78" i="1"/>
  <c r="AH77" i="1"/>
  <c r="T77" i="1"/>
  <c r="AH76" i="1"/>
  <c r="T76" i="1"/>
  <c r="AH75" i="1"/>
  <c r="T75" i="1"/>
  <c r="AH74" i="1"/>
  <c r="T74" i="1"/>
  <c r="AH73" i="1"/>
  <c r="T73" i="1"/>
  <c r="AH72" i="1"/>
  <c r="T72" i="1"/>
  <c r="AH71" i="1"/>
  <c r="T71" i="1"/>
  <c r="AH70" i="1"/>
  <c r="T70" i="1"/>
  <c r="AH69" i="1"/>
  <c r="T69" i="1"/>
  <c r="AH68" i="1"/>
  <c r="T68" i="1"/>
  <c r="AH67" i="1"/>
  <c r="T67" i="1"/>
  <c r="AH66" i="1"/>
  <c r="T66" i="1"/>
  <c r="AH65" i="1"/>
  <c r="T65" i="1"/>
  <c r="AH64" i="1"/>
  <c r="T64" i="1"/>
  <c r="AH63" i="1"/>
  <c r="T63" i="1"/>
  <c r="AH62" i="1"/>
  <c r="T62" i="1"/>
  <c r="AH61" i="1"/>
  <c r="T61" i="1"/>
  <c r="AH60" i="1"/>
  <c r="T60" i="1"/>
  <c r="AH59" i="1"/>
  <c r="T59" i="1"/>
  <c r="AH58" i="1"/>
  <c r="T58" i="1"/>
  <c r="AH57" i="1"/>
  <c r="T57" i="1"/>
  <c r="AH56" i="1"/>
  <c r="T56" i="1"/>
  <c r="AH55" i="1"/>
  <c r="T55" i="1"/>
  <c r="AH54" i="1"/>
  <c r="T54" i="1"/>
  <c r="AH53" i="1"/>
  <c r="T53" i="1"/>
  <c r="AH52" i="1"/>
  <c r="T52" i="1"/>
  <c r="T51" i="1"/>
  <c r="AH50" i="1"/>
  <c r="T50" i="1"/>
  <c r="AH49" i="1"/>
  <c r="T49" i="1"/>
  <c r="AH48" i="1"/>
  <c r="AJ48" i="1" s="1"/>
  <c r="T48" i="1"/>
  <c r="AH47" i="1"/>
  <c r="AJ47" i="1" s="1"/>
  <c r="T47" i="1"/>
  <c r="AH46" i="1"/>
  <c r="AJ46" i="1" s="1"/>
  <c r="T46" i="1"/>
  <c r="AH45" i="1"/>
  <c r="T45" i="1"/>
  <c r="AH44" i="1"/>
  <c r="AJ44" i="1" s="1"/>
  <c r="T44" i="1"/>
  <c r="AH43" i="1"/>
  <c r="AJ43" i="1" s="1"/>
  <c r="T43" i="1"/>
  <c r="AH42" i="1"/>
  <c r="AJ42" i="1" s="1"/>
  <c r="T42" i="1"/>
  <c r="AH41" i="1"/>
  <c r="AJ41" i="1" s="1"/>
  <c r="T41" i="1"/>
  <c r="AH40" i="1"/>
  <c r="AJ40" i="1" s="1"/>
  <c r="T40" i="1"/>
  <c r="AH39" i="1"/>
  <c r="T39" i="1"/>
  <c r="AH38" i="1"/>
  <c r="AJ38" i="1" s="1"/>
  <c r="T38" i="1"/>
  <c r="AH37" i="1"/>
  <c r="T37" i="1"/>
  <c r="AH36" i="1"/>
  <c r="T36" i="1"/>
  <c r="AH35" i="1"/>
  <c r="AJ35" i="1" s="1"/>
  <c r="T35" i="1"/>
  <c r="AH34" i="1"/>
  <c r="AJ34" i="1" s="1"/>
  <c r="T34" i="1"/>
  <c r="AH33" i="1"/>
  <c r="AJ33" i="1" s="1"/>
  <c r="T33" i="1"/>
  <c r="AH32" i="1"/>
  <c r="AJ32" i="1" s="1"/>
  <c r="T32" i="1"/>
  <c r="AH31" i="1"/>
  <c r="T31" i="1"/>
  <c r="AH30" i="1"/>
  <c r="AJ30" i="1" s="1"/>
  <c r="T30" i="1"/>
  <c r="AH29" i="1"/>
  <c r="AJ29" i="1" s="1"/>
  <c r="T29" i="1"/>
  <c r="AH28" i="1"/>
  <c r="AJ28" i="1" s="1"/>
  <c r="T28" i="1"/>
  <c r="AH27" i="1"/>
  <c r="AJ27" i="1" s="1"/>
  <c r="T27" i="1"/>
  <c r="AH26" i="1"/>
  <c r="T26" i="1"/>
  <c r="AH25" i="1"/>
  <c r="AJ25" i="1" s="1"/>
  <c r="T25" i="1"/>
  <c r="AH24" i="1"/>
  <c r="AJ24" i="1" s="1"/>
  <c r="T24" i="1"/>
  <c r="AH23" i="1"/>
  <c r="AJ23" i="1" s="1"/>
  <c r="T23" i="1"/>
  <c r="AH22" i="1"/>
  <c r="T22" i="1"/>
  <c r="AH21" i="1"/>
  <c r="T21" i="1"/>
  <c r="AH20" i="1"/>
  <c r="T20" i="1"/>
  <c r="AH19" i="1"/>
  <c r="T19" i="1"/>
  <c r="AH18" i="1"/>
  <c r="AJ18" i="1" s="1"/>
  <c r="T18" i="1"/>
  <c r="AH17" i="1"/>
  <c r="AJ17" i="1" s="1"/>
  <c r="T17" i="1"/>
  <c r="AH16" i="1"/>
  <c r="AJ16" i="1" s="1"/>
  <c r="T16" i="1"/>
  <c r="AH15" i="1"/>
  <c r="AJ15" i="1" s="1"/>
  <c r="T15" i="1"/>
  <c r="AH14" i="1"/>
  <c r="T14" i="1"/>
  <c r="AH13" i="1"/>
  <c r="T13" i="1"/>
  <c r="AH12" i="1"/>
  <c r="AJ12" i="1" s="1"/>
  <c r="T12" i="1"/>
  <c r="AH11" i="1"/>
  <c r="AJ11" i="1" s="1"/>
  <c r="T11" i="1"/>
  <c r="AH10" i="1"/>
  <c r="AJ10" i="1" s="1"/>
  <c r="T10" i="1"/>
  <c r="AH9" i="1"/>
  <c r="AJ9" i="1" s="1"/>
  <c r="T9" i="1"/>
  <c r="AH8" i="1"/>
  <c r="AJ8" i="1" s="1"/>
  <c r="T8" i="1"/>
  <c r="AJ7" i="1"/>
  <c r="T7" i="1"/>
  <c r="AH6" i="1"/>
  <c r="AJ6" i="1" s="1"/>
  <c r="T6" i="1"/>
  <c r="AH5" i="1"/>
  <c r="T5" i="1"/>
  <c r="AH4" i="1"/>
  <c r="T4" i="1"/>
  <c r="AH3" i="1"/>
  <c r="T3" i="1"/>
</calcChain>
</file>

<file path=xl/sharedStrings.xml><?xml version="1.0" encoding="utf-8"?>
<sst xmlns="http://schemas.openxmlformats.org/spreadsheetml/2006/main" count="1560" uniqueCount="216">
  <si>
    <t>ProvRUCCedPas</t>
  </si>
  <si>
    <t>ProvNombre</t>
  </si>
  <si>
    <t>Relacionada</t>
  </si>
  <si>
    <t>TipoProveed</t>
  </si>
  <si>
    <t>TipoContribuyente</t>
  </si>
  <si>
    <t>Emision</t>
  </si>
  <si>
    <t>Registro</t>
  </si>
  <si>
    <t>Comprobante</t>
  </si>
  <si>
    <t>SerieComp</t>
  </si>
  <si>
    <t>SecuencComp</t>
  </si>
  <si>
    <t>AutComp</t>
  </si>
  <si>
    <t>Caducidad</t>
  </si>
  <si>
    <t>CredTribu</t>
  </si>
  <si>
    <t>DevolucIVA</t>
  </si>
  <si>
    <t>Concepto</t>
  </si>
  <si>
    <t>Base0</t>
  </si>
  <si>
    <t>BaseGrav (1)</t>
  </si>
  <si>
    <t>PorcentIVA (1)</t>
  </si>
  <si>
    <t>IVA (1)</t>
  </si>
  <si>
    <t>BaseGrav (2)</t>
  </si>
  <si>
    <t>PorcentIVA (2)</t>
  </si>
  <si>
    <t>IVA (2)</t>
  </si>
  <si>
    <t>NoObj</t>
  </si>
  <si>
    <t>Exenta</t>
  </si>
  <si>
    <t>ValICE</t>
  </si>
  <si>
    <t>ValRetIVA10</t>
  </si>
  <si>
    <t>ValRetIVA20</t>
  </si>
  <si>
    <t>ValRetIVA30</t>
  </si>
  <si>
    <t>ValRetIVA50</t>
  </si>
  <si>
    <t>ValRetIVA70</t>
  </si>
  <si>
    <t>ValRetIVA100</t>
  </si>
  <si>
    <t>CodRet</t>
  </si>
  <si>
    <t>BaseRetIR</t>
  </si>
  <si>
    <t>PorRetIR</t>
  </si>
  <si>
    <t>ValRetIR</t>
  </si>
  <si>
    <t>FecPagoDIV</t>
  </si>
  <si>
    <t xml:space="preserve">IRAsociDIV     </t>
  </si>
  <si>
    <t xml:space="preserve">AñoGenUtil    </t>
  </si>
  <si>
    <t>CanCajBan</t>
  </si>
  <si>
    <t>PreCajBan</t>
  </si>
  <si>
    <t>SerieRet</t>
  </si>
  <si>
    <t>SecuencRet</t>
  </si>
  <si>
    <t>AutRet</t>
  </si>
  <si>
    <t>EmisionRet</t>
  </si>
  <si>
    <t>CompModif</t>
  </si>
  <si>
    <t>SerieModif</t>
  </si>
  <si>
    <t>SecuencModif</t>
  </si>
  <si>
    <t>AutModif</t>
  </si>
  <si>
    <t>CompPago</t>
  </si>
  <si>
    <t>Liquidar</t>
  </si>
  <si>
    <t>TipoPagoSRI</t>
  </si>
  <si>
    <t>Pais</t>
  </si>
  <si>
    <t>RegFisPre</t>
  </si>
  <si>
    <t>Convenio</t>
  </si>
  <si>
    <t>RetNormaLeg</t>
  </si>
  <si>
    <t>Tipo de regimen fiscal del exterior</t>
  </si>
  <si>
    <t>País al que se realiza el pago en régimen general</t>
  </si>
  <si>
    <t>País al que se realiza el pago paraíso fiscal</t>
  </si>
  <si>
    <t>Denominación del régimen fiscal preferente o jurisdicción de menor imposición</t>
  </si>
  <si>
    <t>FormaPagoSRI</t>
  </si>
  <si>
    <t>CompSolida</t>
  </si>
  <si>
    <t>1791731670001</t>
  </si>
  <si>
    <t>EQUYSUM</t>
  </si>
  <si>
    <t>NP</t>
  </si>
  <si>
    <t>01</t>
  </si>
  <si>
    <t>001001</t>
  </si>
  <si>
    <t>0803202401171440623600120010020000021210992931610</t>
  </si>
  <si>
    <t>02</t>
  </si>
  <si>
    <t>S</t>
  </si>
  <si>
    <t>SERVICIO</t>
  </si>
  <si>
    <t>3440</t>
  </si>
  <si>
    <t>1111403411</t>
  </si>
  <si>
    <t/>
  </si>
  <si>
    <t>1</t>
  </si>
  <si>
    <t>20</t>
  </si>
  <si>
    <t>0502530470001</t>
  </si>
  <si>
    <t>HERRERA GALLO CRISTOBAL ALONSO</t>
  </si>
  <si>
    <t>1111542327</t>
  </si>
  <si>
    <t>N</t>
  </si>
  <si>
    <t>SERVICIOS</t>
  </si>
  <si>
    <t>307</t>
  </si>
  <si>
    <t>1768042620001</t>
  </si>
  <si>
    <t>CORREOS DEL ECUADOR</t>
  </si>
  <si>
    <t>137006</t>
  </si>
  <si>
    <t>1110958845</t>
  </si>
  <si>
    <t>332</t>
  </si>
  <si>
    <t>0990064474001</t>
  </si>
  <si>
    <t>SEGUROS SUCRE</t>
  </si>
  <si>
    <t>004005</t>
  </si>
  <si>
    <t>1110626677</t>
  </si>
  <si>
    <t>SEGUROS</t>
  </si>
  <si>
    <t>322</t>
  </si>
  <si>
    <t>0992598743001</t>
  </si>
  <si>
    <t>ELADREP S.A.</t>
  </si>
  <si>
    <t>1110827997</t>
  </si>
  <si>
    <t>LIQUIDACIÓN DE PLANILLAÇ</t>
  </si>
  <si>
    <t>312</t>
  </si>
  <si>
    <t>1707815971001</t>
  </si>
  <si>
    <t>CUENCA VILLALOBOS SEGUNDO PEDRO</t>
  </si>
  <si>
    <t>1111557168</t>
  </si>
  <si>
    <t>SERVICIOS Y BIENES</t>
  </si>
  <si>
    <t>1400277289001</t>
  </si>
  <si>
    <t>MOLINA ESPINOZA EDGAR ROLANDO</t>
  </si>
  <si>
    <t>1111696044</t>
  </si>
  <si>
    <t>ADQUISICION DE BIENES</t>
  </si>
  <si>
    <t xml:space="preserve">1768135980001  </t>
  </si>
  <si>
    <t>1111696456</t>
  </si>
  <si>
    <t>Factura electrónica</t>
  </si>
  <si>
    <t>0104204672001</t>
  </si>
  <si>
    <t>LEON GALLEGOS TATIANA GABRIELA</t>
  </si>
  <si>
    <t>1111190105</t>
  </si>
  <si>
    <t>1400424972001</t>
  </si>
  <si>
    <t>REMACHE MOROCHO OSCAR BOLIVAR</t>
  </si>
  <si>
    <t>1111830375</t>
  </si>
  <si>
    <t>0102178274001</t>
  </si>
  <si>
    <t>OCHOA SOLORZANO SILVIO DANIEL</t>
  </si>
  <si>
    <t>1111135154</t>
  </si>
  <si>
    <t>1600493769001</t>
  </si>
  <si>
    <t>JOSÉ LUIS MOROCHO LEMACHE</t>
  </si>
  <si>
    <t>002001</t>
  </si>
  <si>
    <t>1111820070</t>
  </si>
  <si>
    <t>1400176937001</t>
  </si>
  <si>
    <t>MONTENEGRO JARAMILLO NICIO EDILSON</t>
  </si>
  <si>
    <t>1112016287</t>
  </si>
  <si>
    <t>1768153530001</t>
  </si>
  <si>
    <t>PETROECUADOR</t>
  </si>
  <si>
    <t>033002</t>
  </si>
  <si>
    <t>1110959472</t>
  </si>
  <si>
    <t>SERVICIOS DE TRANSPORTE</t>
  </si>
  <si>
    <t>1400488068001</t>
  </si>
  <si>
    <t>MOCHA CHACHO JAIME KLEBER</t>
  </si>
  <si>
    <t>1112158141</t>
  </si>
  <si>
    <t>1490812640001</t>
  </si>
  <si>
    <t>FUNDACIÒN DE DESARROLLO INTEGRAL COMUNITARIO EN HUAMBOYA</t>
  </si>
  <si>
    <t>1110960654</t>
  </si>
  <si>
    <t>LIQUIDACION DE PLANILLA</t>
  </si>
  <si>
    <t>1400459689001</t>
  </si>
  <si>
    <t>LOYOLA REA SEGUNDO HOMERO</t>
  </si>
  <si>
    <t>1111499856</t>
  </si>
  <si>
    <t>303</t>
  </si>
  <si>
    <t>1000100899001</t>
  </si>
  <si>
    <t>JOSE RAUL VILLARRUEL BURBANO</t>
  </si>
  <si>
    <t>003001</t>
  </si>
  <si>
    <t>1112058613</t>
  </si>
  <si>
    <t>1791346629001</t>
  </si>
  <si>
    <t>RADIO DIFUSORA LA VOZ DE ARUTAM</t>
  </si>
  <si>
    <t>004001</t>
  </si>
  <si>
    <t>1111702275</t>
  </si>
  <si>
    <t>0102755527001</t>
  </si>
  <si>
    <t>NEIRA  NARVAEZ MARIA VICTORIA</t>
  </si>
  <si>
    <t>1111250767</t>
  </si>
  <si>
    <t>1400416242001</t>
  </si>
  <si>
    <t>CARVAJAL BASANTES ALDO MARCELO</t>
  </si>
  <si>
    <t>1110874533</t>
  </si>
  <si>
    <t>1400563845001</t>
  </si>
  <si>
    <t>MONTENEGRO MERCHAN TERESA EMPERATRIZ</t>
  </si>
  <si>
    <t>1111810912</t>
  </si>
  <si>
    <t>1400425128001</t>
  </si>
  <si>
    <t>GALARZA GUZMAN CARLOS WILMER</t>
  </si>
  <si>
    <t>1110757851</t>
  </si>
  <si>
    <t>304</t>
  </si>
  <si>
    <t>1400679898001</t>
  </si>
  <si>
    <t>LEON COZAR JORGE LUIS</t>
  </si>
  <si>
    <t>1111725007</t>
  </si>
  <si>
    <t>1400734784001</t>
  </si>
  <si>
    <t>MONTENEGRO MERCHAN EDWIN BYRON</t>
  </si>
  <si>
    <t>1111684551</t>
  </si>
  <si>
    <t>0201178951001</t>
  </si>
  <si>
    <t>TUALA PASTOR HOLGER VINICIO</t>
  </si>
  <si>
    <t>1111359740</t>
  </si>
  <si>
    <t>1709137986001</t>
  </si>
  <si>
    <t>BOZA ROCA HECTOR HUGO</t>
  </si>
  <si>
    <t>1111129426</t>
  </si>
  <si>
    <t>1118462345</t>
  </si>
  <si>
    <t>327</t>
  </si>
  <si>
    <t>1890001439001</t>
  </si>
  <si>
    <t>EMPRESA ELECTRICA AMBATO</t>
  </si>
  <si>
    <t>002002</t>
  </si>
  <si>
    <t>1110752203</t>
  </si>
  <si>
    <t>ENERGÍA ELCTRICA</t>
  </si>
  <si>
    <t>EMPRESA ELECTRICA AMBATO REGIONAL NORTE</t>
  </si>
  <si>
    <t>ENERGIA ELECTRICA</t>
  </si>
  <si>
    <t>0190003809001</t>
  </si>
  <si>
    <t>EMPRESA ELECTRICA REGIONAL CENTRO SUR C.A.</t>
  </si>
  <si>
    <t>001003</t>
  </si>
  <si>
    <t>1110911356</t>
  </si>
  <si>
    <t>ENERGÍA ELECTRICA</t>
  </si>
  <si>
    <t>1768152560001</t>
  </si>
  <si>
    <t>CORPORACION NACIONAL DE TELECOMUNICACIONES CNT EP</t>
  </si>
  <si>
    <t>1110783686</t>
  </si>
  <si>
    <t>TELEFONO</t>
  </si>
  <si>
    <t xml:space="preserve">1768152560001  </t>
  </si>
  <si>
    <t>04</t>
  </si>
  <si>
    <t>5445655544</t>
  </si>
  <si>
    <t>DEVOLUCION</t>
  </si>
  <si>
    <t>2803201501176815256000120017770169229520308201514</t>
  </si>
  <si>
    <t>1116778866</t>
  </si>
  <si>
    <t>PAGO NO RESIDENTE</t>
  </si>
  <si>
    <t>130</t>
  </si>
  <si>
    <t>109</t>
  </si>
  <si>
    <t>141</t>
  </si>
  <si>
    <t>EXTERIOR</t>
  </si>
  <si>
    <t>999999</t>
  </si>
  <si>
    <t>9999999999</t>
  </si>
  <si>
    <t>500</t>
  </si>
  <si>
    <t>301</t>
  </si>
  <si>
    <t>1234567890001</t>
  </si>
  <si>
    <t>JUAN PEREZ</t>
  </si>
  <si>
    <t>1134567890001</t>
  </si>
  <si>
    <t>JUAN VALDEZ</t>
  </si>
  <si>
    <t>1034567890001</t>
  </si>
  <si>
    <t>JUAN IZQUIERDO</t>
  </si>
  <si>
    <t>0934567890001</t>
  </si>
  <si>
    <t>JUAN ALDO</t>
  </si>
  <si>
    <t>03</t>
  </si>
  <si>
    <t>Tipo Id Prov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</si>
</sst>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17"/>
      <name val="Arial"/>
      <family val="2"/>
    </font>
    <font>
      <sz val="10"/>
      <color indexed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14" fontId="0" fillId="0" borderId="0" xfId="0" applyNumberFormat="1"/>
    <xf numFmtId="0" fontId="1" fillId="2" borderId="0" xfId="0" applyFont="1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1" fillId="3" borderId="0" xfId="0" applyFont="1" applyFill="1"/>
    <xf numFmtId="49" fontId="0" fillId="0" borderId="0" xfId="0" applyNumberFormat="1" applyFill="1"/>
    <xf numFmtId="0" fontId="0" fillId="0" borderId="0" xfId="0" applyFill="1"/>
    <xf numFmtId="14" fontId="0" fillId="0" borderId="0" xfId="0" applyNumberFormat="1" applyFill="1"/>
    <xf numFmtId="49" fontId="1" fillId="0" borderId="0" xfId="0" applyNumberFormat="1" applyFont="1" applyFill="1"/>
    <xf numFmtId="49" fontId="1" fillId="0" borderId="0" xfId="0" quotePrefix="1" applyNumberFormat="1" applyFont="1" applyFill="1"/>
    <xf numFmtId="0" fontId="1" fillId="0" borderId="0" xfId="0" applyFont="1" applyFill="1"/>
    <xf numFmtId="49" fontId="1" fillId="0" borderId="0" xfId="0" applyNumberFormat="1" applyFont="1"/>
    <xf numFmtId="49" fontId="1" fillId="0" borderId="0" xfId="0" quotePrefix="1" applyNumberFormat="1" applyFont="1"/>
    <xf numFmtId="14" fontId="1" fillId="0" borderId="0" xfId="0" applyNumberFormat="1" applyFont="1"/>
    <xf numFmtId="49" fontId="1" fillId="4" borderId="0" xfId="0" applyNumberFormat="1" applyFont="1" applyFill="1"/>
    <xf numFmtId="0" fontId="3" fillId="0" borderId="0" xfId="0" applyFont="1" applyFill="1"/>
    <xf numFmtId="0" fontId="1" fillId="0" borderId="0" xfId="0" quotePrefix="1" applyFont="1" applyFill="1"/>
    <xf numFmtId="164" fontId="0" fillId="0" borderId="0" xfId="0" applyNumberFormat="1"/>
    <xf numFmtId="164" fontId="0" fillId="0" borderId="0" xfId="0" applyNumberFormat="1" applyFill="1"/>
    <xf numFmtId="49" fontId="0" fillId="0" borderId="0" xfId="0" quotePrefix="1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FD072-D21B-4E00-B136-7128D20EBC80}">
  <dimension ref="A1:BJ85"/>
  <sheetViews>
    <sheetView tabSelected="1" topLeftCell="A60" workbookViewId="0">
      <selection activeCell="A85" sqref="A85:XFD85"/>
    </sheetView>
  </sheetViews>
  <sheetFormatPr baseColWidth="10" defaultRowHeight="15" x14ac:dyDescent="0.25"/>
  <cols>
    <col min="1" max="1" width="15" style="1" customWidth="1"/>
    <col min="3" max="3" width="20.42578125" style="1" customWidth="1"/>
    <col min="4" max="4" width="12.7109375" customWidth="1"/>
    <col min="5" max="5" width="24.140625" style="1" customWidth="1"/>
    <col min="6" max="6" width="15.7109375" style="1" customWidth="1"/>
    <col min="7" max="8" width="11.42578125" style="21"/>
    <col min="9" max="9" width="12" style="1" customWidth="1"/>
    <col min="10" max="10" width="11.42578125" style="1"/>
    <col min="12" max="12" width="51" style="1" customWidth="1"/>
    <col min="13" max="13" width="11.42578125" style="21"/>
    <col min="14" max="14" width="11.42578125" style="1"/>
    <col min="16" max="16" width="27.5703125" customWidth="1"/>
    <col min="18" max="18" width="13" customWidth="1"/>
    <col min="19" max="19" width="15.42578125" customWidth="1"/>
    <col min="21" max="21" width="12.5703125" customWidth="1"/>
    <col min="22" max="22" width="13.28515625" customWidth="1"/>
    <col min="32" max="32" width="12.5703125" customWidth="1"/>
    <col min="33" max="33" width="11.42578125" style="1"/>
    <col min="37" max="37" width="13.140625" customWidth="1"/>
    <col min="38" max="38" width="14.28515625" customWidth="1"/>
    <col min="39" max="41" width="15" customWidth="1"/>
    <col min="44" max="44" width="51" style="1" customWidth="1"/>
    <col min="45" max="45" width="11.42578125" style="3"/>
    <col min="46" max="46" width="11.42578125" style="1"/>
    <col min="49" max="49" width="52.140625" customWidth="1"/>
    <col min="52" max="52" width="13.5703125" style="1" customWidth="1"/>
    <col min="53" max="53" width="11.42578125" style="1"/>
    <col min="54" max="60" width="12.7109375" customWidth="1"/>
    <col min="61" max="61" width="13.5703125" style="1" customWidth="1"/>
    <col min="257" max="257" width="15" customWidth="1"/>
    <col min="260" max="260" width="12.7109375" customWidth="1"/>
    <col min="262" max="262" width="15.7109375" customWidth="1"/>
    <col min="265" max="265" width="12" customWidth="1"/>
    <col min="268" max="268" width="51" customWidth="1"/>
    <col min="272" max="272" width="27.5703125" customWidth="1"/>
    <col min="274" max="274" width="13" customWidth="1"/>
    <col min="275" max="275" width="15.42578125" customWidth="1"/>
    <col min="277" max="277" width="12.5703125" customWidth="1"/>
    <col min="278" max="278" width="13.28515625" customWidth="1"/>
    <col min="288" max="288" width="12.5703125" customWidth="1"/>
    <col min="293" max="293" width="13.140625" customWidth="1"/>
    <col min="294" max="294" width="14.28515625" customWidth="1"/>
    <col min="295" max="297" width="15" customWidth="1"/>
    <col min="300" max="300" width="51" customWidth="1"/>
    <col min="305" max="305" width="52.140625" customWidth="1"/>
    <col min="308" max="308" width="13.5703125" customWidth="1"/>
    <col min="310" max="316" width="12.7109375" customWidth="1"/>
    <col min="317" max="317" width="13.5703125" customWidth="1"/>
    <col min="513" max="513" width="15" customWidth="1"/>
    <col min="516" max="516" width="12.7109375" customWidth="1"/>
    <col min="518" max="518" width="15.7109375" customWidth="1"/>
    <col min="521" max="521" width="12" customWidth="1"/>
    <col min="524" max="524" width="51" customWidth="1"/>
    <col min="528" max="528" width="27.5703125" customWidth="1"/>
    <col min="530" max="530" width="13" customWidth="1"/>
    <col min="531" max="531" width="15.42578125" customWidth="1"/>
    <col min="533" max="533" width="12.5703125" customWidth="1"/>
    <col min="534" max="534" width="13.28515625" customWidth="1"/>
    <col min="544" max="544" width="12.5703125" customWidth="1"/>
    <col min="549" max="549" width="13.140625" customWidth="1"/>
    <col min="550" max="550" width="14.28515625" customWidth="1"/>
    <col min="551" max="553" width="15" customWidth="1"/>
    <col min="556" max="556" width="51" customWidth="1"/>
    <col min="561" max="561" width="52.140625" customWidth="1"/>
    <col min="564" max="564" width="13.5703125" customWidth="1"/>
    <col min="566" max="572" width="12.7109375" customWidth="1"/>
    <col min="573" max="573" width="13.5703125" customWidth="1"/>
    <col min="769" max="769" width="15" customWidth="1"/>
    <col min="772" max="772" width="12.7109375" customWidth="1"/>
    <col min="774" max="774" width="15.7109375" customWidth="1"/>
    <col min="777" max="777" width="12" customWidth="1"/>
    <col min="780" max="780" width="51" customWidth="1"/>
    <col min="784" max="784" width="27.5703125" customWidth="1"/>
    <col min="786" max="786" width="13" customWidth="1"/>
    <col min="787" max="787" width="15.42578125" customWidth="1"/>
    <col min="789" max="789" width="12.5703125" customWidth="1"/>
    <col min="790" max="790" width="13.28515625" customWidth="1"/>
    <col min="800" max="800" width="12.5703125" customWidth="1"/>
    <col min="805" max="805" width="13.140625" customWidth="1"/>
    <col min="806" max="806" width="14.28515625" customWidth="1"/>
    <col min="807" max="809" width="15" customWidth="1"/>
    <col min="812" max="812" width="51" customWidth="1"/>
    <col min="817" max="817" width="52.140625" customWidth="1"/>
    <col min="820" max="820" width="13.5703125" customWidth="1"/>
    <col min="822" max="828" width="12.7109375" customWidth="1"/>
    <col min="829" max="829" width="13.5703125" customWidth="1"/>
    <col min="1025" max="1025" width="15" customWidth="1"/>
    <col min="1028" max="1028" width="12.7109375" customWidth="1"/>
    <col min="1030" max="1030" width="15.7109375" customWidth="1"/>
    <col min="1033" max="1033" width="12" customWidth="1"/>
    <col min="1036" max="1036" width="51" customWidth="1"/>
    <col min="1040" max="1040" width="27.5703125" customWidth="1"/>
    <col min="1042" max="1042" width="13" customWidth="1"/>
    <col min="1043" max="1043" width="15.42578125" customWidth="1"/>
    <col min="1045" max="1045" width="12.5703125" customWidth="1"/>
    <col min="1046" max="1046" width="13.28515625" customWidth="1"/>
    <col min="1056" max="1056" width="12.5703125" customWidth="1"/>
    <col min="1061" max="1061" width="13.140625" customWidth="1"/>
    <col min="1062" max="1062" width="14.28515625" customWidth="1"/>
    <col min="1063" max="1065" width="15" customWidth="1"/>
    <col min="1068" max="1068" width="51" customWidth="1"/>
    <col min="1073" max="1073" width="52.140625" customWidth="1"/>
    <col min="1076" max="1076" width="13.5703125" customWidth="1"/>
    <col min="1078" max="1084" width="12.7109375" customWidth="1"/>
    <col min="1085" max="1085" width="13.5703125" customWidth="1"/>
    <col min="1281" max="1281" width="15" customWidth="1"/>
    <col min="1284" max="1284" width="12.7109375" customWidth="1"/>
    <col min="1286" max="1286" width="15.7109375" customWidth="1"/>
    <col min="1289" max="1289" width="12" customWidth="1"/>
    <col min="1292" max="1292" width="51" customWidth="1"/>
    <col min="1296" max="1296" width="27.5703125" customWidth="1"/>
    <col min="1298" max="1298" width="13" customWidth="1"/>
    <col min="1299" max="1299" width="15.42578125" customWidth="1"/>
    <col min="1301" max="1301" width="12.5703125" customWidth="1"/>
    <col min="1302" max="1302" width="13.28515625" customWidth="1"/>
    <col min="1312" max="1312" width="12.5703125" customWidth="1"/>
    <col min="1317" max="1317" width="13.140625" customWidth="1"/>
    <col min="1318" max="1318" width="14.28515625" customWidth="1"/>
    <col min="1319" max="1321" width="15" customWidth="1"/>
    <col min="1324" max="1324" width="51" customWidth="1"/>
    <col min="1329" max="1329" width="52.140625" customWidth="1"/>
    <col min="1332" max="1332" width="13.5703125" customWidth="1"/>
    <col min="1334" max="1340" width="12.7109375" customWidth="1"/>
    <col min="1341" max="1341" width="13.5703125" customWidth="1"/>
    <col min="1537" max="1537" width="15" customWidth="1"/>
    <col min="1540" max="1540" width="12.7109375" customWidth="1"/>
    <col min="1542" max="1542" width="15.7109375" customWidth="1"/>
    <col min="1545" max="1545" width="12" customWidth="1"/>
    <col min="1548" max="1548" width="51" customWidth="1"/>
    <col min="1552" max="1552" width="27.5703125" customWidth="1"/>
    <col min="1554" max="1554" width="13" customWidth="1"/>
    <col min="1555" max="1555" width="15.42578125" customWidth="1"/>
    <col min="1557" max="1557" width="12.5703125" customWidth="1"/>
    <col min="1558" max="1558" width="13.28515625" customWidth="1"/>
    <col min="1568" max="1568" width="12.5703125" customWidth="1"/>
    <col min="1573" max="1573" width="13.140625" customWidth="1"/>
    <col min="1574" max="1574" width="14.28515625" customWidth="1"/>
    <col min="1575" max="1577" width="15" customWidth="1"/>
    <col min="1580" max="1580" width="51" customWidth="1"/>
    <col min="1585" max="1585" width="52.140625" customWidth="1"/>
    <col min="1588" max="1588" width="13.5703125" customWidth="1"/>
    <col min="1590" max="1596" width="12.7109375" customWidth="1"/>
    <col min="1597" max="1597" width="13.5703125" customWidth="1"/>
    <col min="1793" max="1793" width="15" customWidth="1"/>
    <col min="1796" max="1796" width="12.7109375" customWidth="1"/>
    <col min="1798" max="1798" width="15.7109375" customWidth="1"/>
    <col min="1801" max="1801" width="12" customWidth="1"/>
    <col min="1804" max="1804" width="51" customWidth="1"/>
    <col min="1808" max="1808" width="27.5703125" customWidth="1"/>
    <col min="1810" max="1810" width="13" customWidth="1"/>
    <col min="1811" max="1811" width="15.42578125" customWidth="1"/>
    <col min="1813" max="1813" width="12.5703125" customWidth="1"/>
    <col min="1814" max="1814" width="13.28515625" customWidth="1"/>
    <col min="1824" max="1824" width="12.5703125" customWidth="1"/>
    <col min="1829" max="1829" width="13.140625" customWidth="1"/>
    <col min="1830" max="1830" width="14.28515625" customWidth="1"/>
    <col min="1831" max="1833" width="15" customWidth="1"/>
    <col min="1836" max="1836" width="51" customWidth="1"/>
    <col min="1841" max="1841" width="52.140625" customWidth="1"/>
    <col min="1844" max="1844" width="13.5703125" customWidth="1"/>
    <col min="1846" max="1852" width="12.7109375" customWidth="1"/>
    <col min="1853" max="1853" width="13.5703125" customWidth="1"/>
    <col min="2049" max="2049" width="15" customWidth="1"/>
    <col min="2052" max="2052" width="12.7109375" customWidth="1"/>
    <col min="2054" max="2054" width="15.7109375" customWidth="1"/>
    <col min="2057" max="2057" width="12" customWidth="1"/>
    <col min="2060" max="2060" width="51" customWidth="1"/>
    <col min="2064" max="2064" width="27.5703125" customWidth="1"/>
    <col min="2066" max="2066" width="13" customWidth="1"/>
    <col min="2067" max="2067" width="15.42578125" customWidth="1"/>
    <col min="2069" max="2069" width="12.5703125" customWidth="1"/>
    <col min="2070" max="2070" width="13.28515625" customWidth="1"/>
    <col min="2080" max="2080" width="12.5703125" customWidth="1"/>
    <col min="2085" max="2085" width="13.140625" customWidth="1"/>
    <col min="2086" max="2086" width="14.28515625" customWidth="1"/>
    <col min="2087" max="2089" width="15" customWidth="1"/>
    <col min="2092" max="2092" width="51" customWidth="1"/>
    <col min="2097" max="2097" width="52.140625" customWidth="1"/>
    <col min="2100" max="2100" width="13.5703125" customWidth="1"/>
    <col min="2102" max="2108" width="12.7109375" customWidth="1"/>
    <col min="2109" max="2109" width="13.5703125" customWidth="1"/>
    <col min="2305" max="2305" width="15" customWidth="1"/>
    <col min="2308" max="2308" width="12.7109375" customWidth="1"/>
    <col min="2310" max="2310" width="15.7109375" customWidth="1"/>
    <col min="2313" max="2313" width="12" customWidth="1"/>
    <col min="2316" max="2316" width="51" customWidth="1"/>
    <col min="2320" max="2320" width="27.5703125" customWidth="1"/>
    <col min="2322" max="2322" width="13" customWidth="1"/>
    <col min="2323" max="2323" width="15.42578125" customWidth="1"/>
    <col min="2325" max="2325" width="12.5703125" customWidth="1"/>
    <col min="2326" max="2326" width="13.28515625" customWidth="1"/>
    <col min="2336" max="2336" width="12.5703125" customWidth="1"/>
    <col min="2341" max="2341" width="13.140625" customWidth="1"/>
    <col min="2342" max="2342" width="14.28515625" customWidth="1"/>
    <col min="2343" max="2345" width="15" customWidth="1"/>
    <col min="2348" max="2348" width="51" customWidth="1"/>
    <col min="2353" max="2353" width="52.140625" customWidth="1"/>
    <col min="2356" max="2356" width="13.5703125" customWidth="1"/>
    <col min="2358" max="2364" width="12.7109375" customWidth="1"/>
    <col min="2365" max="2365" width="13.5703125" customWidth="1"/>
    <col min="2561" max="2561" width="15" customWidth="1"/>
    <col min="2564" max="2564" width="12.7109375" customWidth="1"/>
    <col min="2566" max="2566" width="15.7109375" customWidth="1"/>
    <col min="2569" max="2569" width="12" customWidth="1"/>
    <col min="2572" max="2572" width="51" customWidth="1"/>
    <col min="2576" max="2576" width="27.5703125" customWidth="1"/>
    <col min="2578" max="2578" width="13" customWidth="1"/>
    <col min="2579" max="2579" width="15.42578125" customWidth="1"/>
    <col min="2581" max="2581" width="12.5703125" customWidth="1"/>
    <col min="2582" max="2582" width="13.28515625" customWidth="1"/>
    <col min="2592" max="2592" width="12.5703125" customWidth="1"/>
    <col min="2597" max="2597" width="13.140625" customWidth="1"/>
    <col min="2598" max="2598" width="14.28515625" customWidth="1"/>
    <col min="2599" max="2601" width="15" customWidth="1"/>
    <col min="2604" max="2604" width="51" customWidth="1"/>
    <col min="2609" max="2609" width="52.140625" customWidth="1"/>
    <col min="2612" max="2612" width="13.5703125" customWidth="1"/>
    <col min="2614" max="2620" width="12.7109375" customWidth="1"/>
    <col min="2621" max="2621" width="13.5703125" customWidth="1"/>
    <col min="2817" max="2817" width="15" customWidth="1"/>
    <col min="2820" max="2820" width="12.7109375" customWidth="1"/>
    <col min="2822" max="2822" width="15.7109375" customWidth="1"/>
    <col min="2825" max="2825" width="12" customWidth="1"/>
    <col min="2828" max="2828" width="51" customWidth="1"/>
    <col min="2832" max="2832" width="27.5703125" customWidth="1"/>
    <col min="2834" max="2834" width="13" customWidth="1"/>
    <col min="2835" max="2835" width="15.42578125" customWidth="1"/>
    <col min="2837" max="2837" width="12.5703125" customWidth="1"/>
    <col min="2838" max="2838" width="13.28515625" customWidth="1"/>
    <col min="2848" max="2848" width="12.5703125" customWidth="1"/>
    <col min="2853" max="2853" width="13.140625" customWidth="1"/>
    <col min="2854" max="2854" width="14.28515625" customWidth="1"/>
    <col min="2855" max="2857" width="15" customWidth="1"/>
    <col min="2860" max="2860" width="51" customWidth="1"/>
    <col min="2865" max="2865" width="52.140625" customWidth="1"/>
    <col min="2868" max="2868" width="13.5703125" customWidth="1"/>
    <col min="2870" max="2876" width="12.7109375" customWidth="1"/>
    <col min="2877" max="2877" width="13.5703125" customWidth="1"/>
    <col min="3073" max="3073" width="15" customWidth="1"/>
    <col min="3076" max="3076" width="12.7109375" customWidth="1"/>
    <col min="3078" max="3078" width="15.7109375" customWidth="1"/>
    <col min="3081" max="3081" width="12" customWidth="1"/>
    <col min="3084" max="3084" width="51" customWidth="1"/>
    <col min="3088" max="3088" width="27.5703125" customWidth="1"/>
    <col min="3090" max="3090" width="13" customWidth="1"/>
    <col min="3091" max="3091" width="15.42578125" customWidth="1"/>
    <col min="3093" max="3093" width="12.5703125" customWidth="1"/>
    <col min="3094" max="3094" width="13.28515625" customWidth="1"/>
    <col min="3104" max="3104" width="12.5703125" customWidth="1"/>
    <col min="3109" max="3109" width="13.140625" customWidth="1"/>
    <col min="3110" max="3110" width="14.28515625" customWidth="1"/>
    <col min="3111" max="3113" width="15" customWidth="1"/>
    <col min="3116" max="3116" width="51" customWidth="1"/>
    <col min="3121" max="3121" width="52.140625" customWidth="1"/>
    <col min="3124" max="3124" width="13.5703125" customWidth="1"/>
    <col min="3126" max="3132" width="12.7109375" customWidth="1"/>
    <col min="3133" max="3133" width="13.5703125" customWidth="1"/>
    <col min="3329" max="3329" width="15" customWidth="1"/>
    <col min="3332" max="3332" width="12.7109375" customWidth="1"/>
    <col min="3334" max="3334" width="15.7109375" customWidth="1"/>
    <col min="3337" max="3337" width="12" customWidth="1"/>
    <col min="3340" max="3340" width="51" customWidth="1"/>
    <col min="3344" max="3344" width="27.5703125" customWidth="1"/>
    <col min="3346" max="3346" width="13" customWidth="1"/>
    <col min="3347" max="3347" width="15.42578125" customWidth="1"/>
    <col min="3349" max="3349" width="12.5703125" customWidth="1"/>
    <col min="3350" max="3350" width="13.28515625" customWidth="1"/>
    <col min="3360" max="3360" width="12.5703125" customWidth="1"/>
    <col min="3365" max="3365" width="13.140625" customWidth="1"/>
    <col min="3366" max="3366" width="14.28515625" customWidth="1"/>
    <col min="3367" max="3369" width="15" customWidth="1"/>
    <col min="3372" max="3372" width="51" customWidth="1"/>
    <col min="3377" max="3377" width="52.140625" customWidth="1"/>
    <col min="3380" max="3380" width="13.5703125" customWidth="1"/>
    <col min="3382" max="3388" width="12.7109375" customWidth="1"/>
    <col min="3389" max="3389" width="13.5703125" customWidth="1"/>
    <col min="3585" max="3585" width="15" customWidth="1"/>
    <col min="3588" max="3588" width="12.7109375" customWidth="1"/>
    <col min="3590" max="3590" width="15.7109375" customWidth="1"/>
    <col min="3593" max="3593" width="12" customWidth="1"/>
    <col min="3596" max="3596" width="51" customWidth="1"/>
    <col min="3600" max="3600" width="27.5703125" customWidth="1"/>
    <col min="3602" max="3602" width="13" customWidth="1"/>
    <col min="3603" max="3603" width="15.42578125" customWidth="1"/>
    <col min="3605" max="3605" width="12.5703125" customWidth="1"/>
    <col min="3606" max="3606" width="13.28515625" customWidth="1"/>
    <col min="3616" max="3616" width="12.5703125" customWidth="1"/>
    <col min="3621" max="3621" width="13.140625" customWidth="1"/>
    <col min="3622" max="3622" width="14.28515625" customWidth="1"/>
    <col min="3623" max="3625" width="15" customWidth="1"/>
    <col min="3628" max="3628" width="51" customWidth="1"/>
    <col min="3633" max="3633" width="52.140625" customWidth="1"/>
    <col min="3636" max="3636" width="13.5703125" customWidth="1"/>
    <col min="3638" max="3644" width="12.7109375" customWidth="1"/>
    <col min="3645" max="3645" width="13.5703125" customWidth="1"/>
    <col min="3841" max="3841" width="15" customWidth="1"/>
    <col min="3844" max="3844" width="12.7109375" customWidth="1"/>
    <col min="3846" max="3846" width="15.7109375" customWidth="1"/>
    <col min="3849" max="3849" width="12" customWidth="1"/>
    <col min="3852" max="3852" width="51" customWidth="1"/>
    <col min="3856" max="3856" width="27.5703125" customWidth="1"/>
    <col min="3858" max="3858" width="13" customWidth="1"/>
    <col min="3859" max="3859" width="15.42578125" customWidth="1"/>
    <col min="3861" max="3861" width="12.5703125" customWidth="1"/>
    <col min="3862" max="3862" width="13.28515625" customWidth="1"/>
    <col min="3872" max="3872" width="12.5703125" customWidth="1"/>
    <col min="3877" max="3877" width="13.140625" customWidth="1"/>
    <col min="3878" max="3878" width="14.28515625" customWidth="1"/>
    <col min="3879" max="3881" width="15" customWidth="1"/>
    <col min="3884" max="3884" width="51" customWidth="1"/>
    <col min="3889" max="3889" width="52.140625" customWidth="1"/>
    <col min="3892" max="3892" width="13.5703125" customWidth="1"/>
    <col min="3894" max="3900" width="12.7109375" customWidth="1"/>
    <col min="3901" max="3901" width="13.5703125" customWidth="1"/>
    <col min="4097" max="4097" width="15" customWidth="1"/>
    <col min="4100" max="4100" width="12.7109375" customWidth="1"/>
    <col min="4102" max="4102" width="15.7109375" customWidth="1"/>
    <col min="4105" max="4105" width="12" customWidth="1"/>
    <col min="4108" max="4108" width="51" customWidth="1"/>
    <col min="4112" max="4112" width="27.5703125" customWidth="1"/>
    <col min="4114" max="4114" width="13" customWidth="1"/>
    <col min="4115" max="4115" width="15.42578125" customWidth="1"/>
    <col min="4117" max="4117" width="12.5703125" customWidth="1"/>
    <col min="4118" max="4118" width="13.28515625" customWidth="1"/>
    <col min="4128" max="4128" width="12.5703125" customWidth="1"/>
    <col min="4133" max="4133" width="13.140625" customWidth="1"/>
    <col min="4134" max="4134" width="14.28515625" customWidth="1"/>
    <col min="4135" max="4137" width="15" customWidth="1"/>
    <col min="4140" max="4140" width="51" customWidth="1"/>
    <col min="4145" max="4145" width="52.140625" customWidth="1"/>
    <col min="4148" max="4148" width="13.5703125" customWidth="1"/>
    <col min="4150" max="4156" width="12.7109375" customWidth="1"/>
    <col min="4157" max="4157" width="13.5703125" customWidth="1"/>
    <col min="4353" max="4353" width="15" customWidth="1"/>
    <col min="4356" max="4356" width="12.7109375" customWidth="1"/>
    <col min="4358" max="4358" width="15.7109375" customWidth="1"/>
    <col min="4361" max="4361" width="12" customWidth="1"/>
    <col min="4364" max="4364" width="51" customWidth="1"/>
    <col min="4368" max="4368" width="27.5703125" customWidth="1"/>
    <col min="4370" max="4370" width="13" customWidth="1"/>
    <col min="4371" max="4371" width="15.42578125" customWidth="1"/>
    <col min="4373" max="4373" width="12.5703125" customWidth="1"/>
    <col min="4374" max="4374" width="13.28515625" customWidth="1"/>
    <col min="4384" max="4384" width="12.5703125" customWidth="1"/>
    <col min="4389" max="4389" width="13.140625" customWidth="1"/>
    <col min="4390" max="4390" width="14.28515625" customWidth="1"/>
    <col min="4391" max="4393" width="15" customWidth="1"/>
    <col min="4396" max="4396" width="51" customWidth="1"/>
    <col min="4401" max="4401" width="52.140625" customWidth="1"/>
    <col min="4404" max="4404" width="13.5703125" customWidth="1"/>
    <col min="4406" max="4412" width="12.7109375" customWidth="1"/>
    <col min="4413" max="4413" width="13.5703125" customWidth="1"/>
    <col min="4609" max="4609" width="15" customWidth="1"/>
    <col min="4612" max="4612" width="12.7109375" customWidth="1"/>
    <col min="4614" max="4614" width="15.7109375" customWidth="1"/>
    <col min="4617" max="4617" width="12" customWidth="1"/>
    <col min="4620" max="4620" width="51" customWidth="1"/>
    <col min="4624" max="4624" width="27.5703125" customWidth="1"/>
    <col min="4626" max="4626" width="13" customWidth="1"/>
    <col min="4627" max="4627" width="15.42578125" customWidth="1"/>
    <col min="4629" max="4629" width="12.5703125" customWidth="1"/>
    <col min="4630" max="4630" width="13.28515625" customWidth="1"/>
    <col min="4640" max="4640" width="12.5703125" customWidth="1"/>
    <col min="4645" max="4645" width="13.140625" customWidth="1"/>
    <col min="4646" max="4646" width="14.28515625" customWidth="1"/>
    <col min="4647" max="4649" width="15" customWidth="1"/>
    <col min="4652" max="4652" width="51" customWidth="1"/>
    <col min="4657" max="4657" width="52.140625" customWidth="1"/>
    <col min="4660" max="4660" width="13.5703125" customWidth="1"/>
    <col min="4662" max="4668" width="12.7109375" customWidth="1"/>
    <col min="4669" max="4669" width="13.5703125" customWidth="1"/>
    <col min="4865" max="4865" width="15" customWidth="1"/>
    <col min="4868" max="4868" width="12.7109375" customWidth="1"/>
    <col min="4870" max="4870" width="15.7109375" customWidth="1"/>
    <col min="4873" max="4873" width="12" customWidth="1"/>
    <col min="4876" max="4876" width="51" customWidth="1"/>
    <col min="4880" max="4880" width="27.5703125" customWidth="1"/>
    <col min="4882" max="4882" width="13" customWidth="1"/>
    <col min="4883" max="4883" width="15.42578125" customWidth="1"/>
    <col min="4885" max="4885" width="12.5703125" customWidth="1"/>
    <col min="4886" max="4886" width="13.28515625" customWidth="1"/>
    <col min="4896" max="4896" width="12.5703125" customWidth="1"/>
    <col min="4901" max="4901" width="13.140625" customWidth="1"/>
    <col min="4902" max="4902" width="14.28515625" customWidth="1"/>
    <col min="4903" max="4905" width="15" customWidth="1"/>
    <col min="4908" max="4908" width="51" customWidth="1"/>
    <col min="4913" max="4913" width="52.140625" customWidth="1"/>
    <col min="4916" max="4916" width="13.5703125" customWidth="1"/>
    <col min="4918" max="4924" width="12.7109375" customWidth="1"/>
    <col min="4925" max="4925" width="13.5703125" customWidth="1"/>
    <col min="5121" max="5121" width="15" customWidth="1"/>
    <col min="5124" max="5124" width="12.7109375" customWidth="1"/>
    <col min="5126" max="5126" width="15.7109375" customWidth="1"/>
    <col min="5129" max="5129" width="12" customWidth="1"/>
    <col min="5132" max="5132" width="51" customWidth="1"/>
    <col min="5136" max="5136" width="27.5703125" customWidth="1"/>
    <col min="5138" max="5138" width="13" customWidth="1"/>
    <col min="5139" max="5139" width="15.42578125" customWidth="1"/>
    <col min="5141" max="5141" width="12.5703125" customWidth="1"/>
    <col min="5142" max="5142" width="13.28515625" customWidth="1"/>
    <col min="5152" max="5152" width="12.5703125" customWidth="1"/>
    <col min="5157" max="5157" width="13.140625" customWidth="1"/>
    <col min="5158" max="5158" width="14.28515625" customWidth="1"/>
    <col min="5159" max="5161" width="15" customWidth="1"/>
    <col min="5164" max="5164" width="51" customWidth="1"/>
    <col min="5169" max="5169" width="52.140625" customWidth="1"/>
    <col min="5172" max="5172" width="13.5703125" customWidth="1"/>
    <col min="5174" max="5180" width="12.7109375" customWidth="1"/>
    <col min="5181" max="5181" width="13.5703125" customWidth="1"/>
    <col min="5377" max="5377" width="15" customWidth="1"/>
    <col min="5380" max="5380" width="12.7109375" customWidth="1"/>
    <col min="5382" max="5382" width="15.7109375" customWidth="1"/>
    <col min="5385" max="5385" width="12" customWidth="1"/>
    <col min="5388" max="5388" width="51" customWidth="1"/>
    <col min="5392" max="5392" width="27.5703125" customWidth="1"/>
    <col min="5394" max="5394" width="13" customWidth="1"/>
    <col min="5395" max="5395" width="15.42578125" customWidth="1"/>
    <col min="5397" max="5397" width="12.5703125" customWidth="1"/>
    <col min="5398" max="5398" width="13.28515625" customWidth="1"/>
    <col min="5408" max="5408" width="12.5703125" customWidth="1"/>
    <col min="5413" max="5413" width="13.140625" customWidth="1"/>
    <col min="5414" max="5414" width="14.28515625" customWidth="1"/>
    <col min="5415" max="5417" width="15" customWidth="1"/>
    <col min="5420" max="5420" width="51" customWidth="1"/>
    <col min="5425" max="5425" width="52.140625" customWidth="1"/>
    <col min="5428" max="5428" width="13.5703125" customWidth="1"/>
    <col min="5430" max="5436" width="12.7109375" customWidth="1"/>
    <col min="5437" max="5437" width="13.5703125" customWidth="1"/>
    <col min="5633" max="5633" width="15" customWidth="1"/>
    <col min="5636" max="5636" width="12.7109375" customWidth="1"/>
    <col min="5638" max="5638" width="15.7109375" customWidth="1"/>
    <col min="5641" max="5641" width="12" customWidth="1"/>
    <col min="5644" max="5644" width="51" customWidth="1"/>
    <col min="5648" max="5648" width="27.5703125" customWidth="1"/>
    <col min="5650" max="5650" width="13" customWidth="1"/>
    <col min="5651" max="5651" width="15.42578125" customWidth="1"/>
    <col min="5653" max="5653" width="12.5703125" customWidth="1"/>
    <col min="5654" max="5654" width="13.28515625" customWidth="1"/>
    <col min="5664" max="5664" width="12.5703125" customWidth="1"/>
    <col min="5669" max="5669" width="13.140625" customWidth="1"/>
    <col min="5670" max="5670" width="14.28515625" customWidth="1"/>
    <col min="5671" max="5673" width="15" customWidth="1"/>
    <col min="5676" max="5676" width="51" customWidth="1"/>
    <col min="5681" max="5681" width="52.140625" customWidth="1"/>
    <col min="5684" max="5684" width="13.5703125" customWidth="1"/>
    <col min="5686" max="5692" width="12.7109375" customWidth="1"/>
    <col min="5693" max="5693" width="13.5703125" customWidth="1"/>
    <col min="5889" max="5889" width="15" customWidth="1"/>
    <col min="5892" max="5892" width="12.7109375" customWidth="1"/>
    <col min="5894" max="5894" width="15.7109375" customWidth="1"/>
    <col min="5897" max="5897" width="12" customWidth="1"/>
    <col min="5900" max="5900" width="51" customWidth="1"/>
    <col min="5904" max="5904" width="27.5703125" customWidth="1"/>
    <col min="5906" max="5906" width="13" customWidth="1"/>
    <col min="5907" max="5907" width="15.42578125" customWidth="1"/>
    <col min="5909" max="5909" width="12.5703125" customWidth="1"/>
    <col min="5910" max="5910" width="13.28515625" customWidth="1"/>
    <col min="5920" max="5920" width="12.5703125" customWidth="1"/>
    <col min="5925" max="5925" width="13.140625" customWidth="1"/>
    <col min="5926" max="5926" width="14.28515625" customWidth="1"/>
    <col min="5927" max="5929" width="15" customWidth="1"/>
    <col min="5932" max="5932" width="51" customWidth="1"/>
    <col min="5937" max="5937" width="52.140625" customWidth="1"/>
    <col min="5940" max="5940" width="13.5703125" customWidth="1"/>
    <col min="5942" max="5948" width="12.7109375" customWidth="1"/>
    <col min="5949" max="5949" width="13.5703125" customWidth="1"/>
    <col min="6145" max="6145" width="15" customWidth="1"/>
    <col min="6148" max="6148" width="12.7109375" customWidth="1"/>
    <col min="6150" max="6150" width="15.7109375" customWidth="1"/>
    <col min="6153" max="6153" width="12" customWidth="1"/>
    <col min="6156" max="6156" width="51" customWidth="1"/>
    <col min="6160" max="6160" width="27.5703125" customWidth="1"/>
    <col min="6162" max="6162" width="13" customWidth="1"/>
    <col min="6163" max="6163" width="15.42578125" customWidth="1"/>
    <col min="6165" max="6165" width="12.5703125" customWidth="1"/>
    <col min="6166" max="6166" width="13.28515625" customWidth="1"/>
    <col min="6176" max="6176" width="12.5703125" customWidth="1"/>
    <col min="6181" max="6181" width="13.140625" customWidth="1"/>
    <col min="6182" max="6182" width="14.28515625" customWidth="1"/>
    <col min="6183" max="6185" width="15" customWidth="1"/>
    <col min="6188" max="6188" width="51" customWidth="1"/>
    <col min="6193" max="6193" width="52.140625" customWidth="1"/>
    <col min="6196" max="6196" width="13.5703125" customWidth="1"/>
    <col min="6198" max="6204" width="12.7109375" customWidth="1"/>
    <col min="6205" max="6205" width="13.5703125" customWidth="1"/>
    <col min="6401" max="6401" width="15" customWidth="1"/>
    <col min="6404" max="6404" width="12.7109375" customWidth="1"/>
    <col min="6406" max="6406" width="15.7109375" customWidth="1"/>
    <col min="6409" max="6409" width="12" customWidth="1"/>
    <col min="6412" max="6412" width="51" customWidth="1"/>
    <col min="6416" max="6416" width="27.5703125" customWidth="1"/>
    <col min="6418" max="6418" width="13" customWidth="1"/>
    <col min="6419" max="6419" width="15.42578125" customWidth="1"/>
    <col min="6421" max="6421" width="12.5703125" customWidth="1"/>
    <col min="6422" max="6422" width="13.28515625" customWidth="1"/>
    <col min="6432" max="6432" width="12.5703125" customWidth="1"/>
    <col min="6437" max="6437" width="13.140625" customWidth="1"/>
    <col min="6438" max="6438" width="14.28515625" customWidth="1"/>
    <col min="6439" max="6441" width="15" customWidth="1"/>
    <col min="6444" max="6444" width="51" customWidth="1"/>
    <col min="6449" max="6449" width="52.140625" customWidth="1"/>
    <col min="6452" max="6452" width="13.5703125" customWidth="1"/>
    <col min="6454" max="6460" width="12.7109375" customWidth="1"/>
    <col min="6461" max="6461" width="13.5703125" customWidth="1"/>
    <col min="6657" max="6657" width="15" customWidth="1"/>
    <col min="6660" max="6660" width="12.7109375" customWidth="1"/>
    <col min="6662" max="6662" width="15.7109375" customWidth="1"/>
    <col min="6665" max="6665" width="12" customWidth="1"/>
    <col min="6668" max="6668" width="51" customWidth="1"/>
    <col min="6672" max="6672" width="27.5703125" customWidth="1"/>
    <col min="6674" max="6674" width="13" customWidth="1"/>
    <col min="6675" max="6675" width="15.42578125" customWidth="1"/>
    <col min="6677" max="6677" width="12.5703125" customWidth="1"/>
    <col min="6678" max="6678" width="13.28515625" customWidth="1"/>
    <col min="6688" max="6688" width="12.5703125" customWidth="1"/>
    <col min="6693" max="6693" width="13.140625" customWidth="1"/>
    <col min="6694" max="6694" width="14.28515625" customWidth="1"/>
    <col min="6695" max="6697" width="15" customWidth="1"/>
    <col min="6700" max="6700" width="51" customWidth="1"/>
    <col min="6705" max="6705" width="52.140625" customWidth="1"/>
    <col min="6708" max="6708" width="13.5703125" customWidth="1"/>
    <col min="6710" max="6716" width="12.7109375" customWidth="1"/>
    <col min="6717" max="6717" width="13.5703125" customWidth="1"/>
    <col min="6913" max="6913" width="15" customWidth="1"/>
    <col min="6916" max="6916" width="12.7109375" customWidth="1"/>
    <col min="6918" max="6918" width="15.7109375" customWidth="1"/>
    <col min="6921" max="6921" width="12" customWidth="1"/>
    <col min="6924" max="6924" width="51" customWidth="1"/>
    <col min="6928" max="6928" width="27.5703125" customWidth="1"/>
    <col min="6930" max="6930" width="13" customWidth="1"/>
    <col min="6931" max="6931" width="15.42578125" customWidth="1"/>
    <col min="6933" max="6933" width="12.5703125" customWidth="1"/>
    <col min="6934" max="6934" width="13.28515625" customWidth="1"/>
    <col min="6944" max="6944" width="12.5703125" customWidth="1"/>
    <col min="6949" max="6949" width="13.140625" customWidth="1"/>
    <col min="6950" max="6950" width="14.28515625" customWidth="1"/>
    <col min="6951" max="6953" width="15" customWidth="1"/>
    <col min="6956" max="6956" width="51" customWidth="1"/>
    <col min="6961" max="6961" width="52.140625" customWidth="1"/>
    <col min="6964" max="6964" width="13.5703125" customWidth="1"/>
    <col min="6966" max="6972" width="12.7109375" customWidth="1"/>
    <col min="6973" max="6973" width="13.5703125" customWidth="1"/>
    <col min="7169" max="7169" width="15" customWidth="1"/>
    <col min="7172" max="7172" width="12.7109375" customWidth="1"/>
    <col min="7174" max="7174" width="15.7109375" customWidth="1"/>
    <col min="7177" max="7177" width="12" customWidth="1"/>
    <col min="7180" max="7180" width="51" customWidth="1"/>
    <col min="7184" max="7184" width="27.5703125" customWidth="1"/>
    <col min="7186" max="7186" width="13" customWidth="1"/>
    <col min="7187" max="7187" width="15.42578125" customWidth="1"/>
    <col min="7189" max="7189" width="12.5703125" customWidth="1"/>
    <col min="7190" max="7190" width="13.28515625" customWidth="1"/>
    <col min="7200" max="7200" width="12.5703125" customWidth="1"/>
    <col min="7205" max="7205" width="13.140625" customWidth="1"/>
    <col min="7206" max="7206" width="14.28515625" customWidth="1"/>
    <col min="7207" max="7209" width="15" customWidth="1"/>
    <col min="7212" max="7212" width="51" customWidth="1"/>
    <col min="7217" max="7217" width="52.140625" customWidth="1"/>
    <col min="7220" max="7220" width="13.5703125" customWidth="1"/>
    <col min="7222" max="7228" width="12.7109375" customWidth="1"/>
    <col min="7229" max="7229" width="13.5703125" customWidth="1"/>
    <col min="7425" max="7425" width="15" customWidth="1"/>
    <col min="7428" max="7428" width="12.7109375" customWidth="1"/>
    <col min="7430" max="7430" width="15.7109375" customWidth="1"/>
    <col min="7433" max="7433" width="12" customWidth="1"/>
    <col min="7436" max="7436" width="51" customWidth="1"/>
    <col min="7440" max="7440" width="27.5703125" customWidth="1"/>
    <col min="7442" max="7442" width="13" customWidth="1"/>
    <col min="7443" max="7443" width="15.42578125" customWidth="1"/>
    <col min="7445" max="7445" width="12.5703125" customWidth="1"/>
    <col min="7446" max="7446" width="13.28515625" customWidth="1"/>
    <col min="7456" max="7456" width="12.5703125" customWidth="1"/>
    <col min="7461" max="7461" width="13.140625" customWidth="1"/>
    <col min="7462" max="7462" width="14.28515625" customWidth="1"/>
    <col min="7463" max="7465" width="15" customWidth="1"/>
    <col min="7468" max="7468" width="51" customWidth="1"/>
    <col min="7473" max="7473" width="52.140625" customWidth="1"/>
    <col min="7476" max="7476" width="13.5703125" customWidth="1"/>
    <col min="7478" max="7484" width="12.7109375" customWidth="1"/>
    <col min="7485" max="7485" width="13.5703125" customWidth="1"/>
    <col min="7681" max="7681" width="15" customWidth="1"/>
    <col min="7684" max="7684" width="12.7109375" customWidth="1"/>
    <col min="7686" max="7686" width="15.7109375" customWidth="1"/>
    <col min="7689" max="7689" width="12" customWidth="1"/>
    <col min="7692" max="7692" width="51" customWidth="1"/>
    <col min="7696" max="7696" width="27.5703125" customWidth="1"/>
    <col min="7698" max="7698" width="13" customWidth="1"/>
    <col min="7699" max="7699" width="15.42578125" customWidth="1"/>
    <col min="7701" max="7701" width="12.5703125" customWidth="1"/>
    <col min="7702" max="7702" width="13.28515625" customWidth="1"/>
    <col min="7712" max="7712" width="12.5703125" customWidth="1"/>
    <col min="7717" max="7717" width="13.140625" customWidth="1"/>
    <col min="7718" max="7718" width="14.28515625" customWidth="1"/>
    <col min="7719" max="7721" width="15" customWidth="1"/>
    <col min="7724" max="7724" width="51" customWidth="1"/>
    <col min="7729" max="7729" width="52.140625" customWidth="1"/>
    <col min="7732" max="7732" width="13.5703125" customWidth="1"/>
    <col min="7734" max="7740" width="12.7109375" customWidth="1"/>
    <col min="7741" max="7741" width="13.5703125" customWidth="1"/>
    <col min="7937" max="7937" width="15" customWidth="1"/>
    <col min="7940" max="7940" width="12.7109375" customWidth="1"/>
    <col min="7942" max="7942" width="15.7109375" customWidth="1"/>
    <col min="7945" max="7945" width="12" customWidth="1"/>
    <col min="7948" max="7948" width="51" customWidth="1"/>
    <col min="7952" max="7952" width="27.5703125" customWidth="1"/>
    <col min="7954" max="7954" width="13" customWidth="1"/>
    <col min="7955" max="7955" width="15.42578125" customWidth="1"/>
    <col min="7957" max="7957" width="12.5703125" customWidth="1"/>
    <col min="7958" max="7958" width="13.28515625" customWidth="1"/>
    <col min="7968" max="7968" width="12.5703125" customWidth="1"/>
    <col min="7973" max="7973" width="13.140625" customWidth="1"/>
    <col min="7974" max="7974" width="14.28515625" customWidth="1"/>
    <col min="7975" max="7977" width="15" customWidth="1"/>
    <col min="7980" max="7980" width="51" customWidth="1"/>
    <col min="7985" max="7985" width="52.140625" customWidth="1"/>
    <col min="7988" max="7988" width="13.5703125" customWidth="1"/>
    <col min="7990" max="7996" width="12.7109375" customWidth="1"/>
    <col min="7997" max="7997" width="13.5703125" customWidth="1"/>
    <col min="8193" max="8193" width="15" customWidth="1"/>
    <col min="8196" max="8196" width="12.7109375" customWidth="1"/>
    <col min="8198" max="8198" width="15.7109375" customWidth="1"/>
    <col min="8201" max="8201" width="12" customWidth="1"/>
    <col min="8204" max="8204" width="51" customWidth="1"/>
    <col min="8208" max="8208" width="27.5703125" customWidth="1"/>
    <col min="8210" max="8210" width="13" customWidth="1"/>
    <col min="8211" max="8211" width="15.42578125" customWidth="1"/>
    <col min="8213" max="8213" width="12.5703125" customWidth="1"/>
    <col min="8214" max="8214" width="13.28515625" customWidth="1"/>
    <col min="8224" max="8224" width="12.5703125" customWidth="1"/>
    <col min="8229" max="8229" width="13.140625" customWidth="1"/>
    <col min="8230" max="8230" width="14.28515625" customWidth="1"/>
    <col min="8231" max="8233" width="15" customWidth="1"/>
    <col min="8236" max="8236" width="51" customWidth="1"/>
    <col min="8241" max="8241" width="52.140625" customWidth="1"/>
    <col min="8244" max="8244" width="13.5703125" customWidth="1"/>
    <col min="8246" max="8252" width="12.7109375" customWidth="1"/>
    <col min="8253" max="8253" width="13.5703125" customWidth="1"/>
    <col min="8449" max="8449" width="15" customWidth="1"/>
    <col min="8452" max="8452" width="12.7109375" customWidth="1"/>
    <col min="8454" max="8454" width="15.7109375" customWidth="1"/>
    <col min="8457" max="8457" width="12" customWidth="1"/>
    <col min="8460" max="8460" width="51" customWidth="1"/>
    <col min="8464" max="8464" width="27.5703125" customWidth="1"/>
    <col min="8466" max="8466" width="13" customWidth="1"/>
    <col min="8467" max="8467" width="15.42578125" customWidth="1"/>
    <col min="8469" max="8469" width="12.5703125" customWidth="1"/>
    <col min="8470" max="8470" width="13.28515625" customWidth="1"/>
    <col min="8480" max="8480" width="12.5703125" customWidth="1"/>
    <col min="8485" max="8485" width="13.140625" customWidth="1"/>
    <col min="8486" max="8486" width="14.28515625" customWidth="1"/>
    <col min="8487" max="8489" width="15" customWidth="1"/>
    <col min="8492" max="8492" width="51" customWidth="1"/>
    <col min="8497" max="8497" width="52.140625" customWidth="1"/>
    <col min="8500" max="8500" width="13.5703125" customWidth="1"/>
    <col min="8502" max="8508" width="12.7109375" customWidth="1"/>
    <col min="8509" max="8509" width="13.5703125" customWidth="1"/>
    <col min="8705" max="8705" width="15" customWidth="1"/>
    <col min="8708" max="8708" width="12.7109375" customWidth="1"/>
    <col min="8710" max="8710" width="15.7109375" customWidth="1"/>
    <col min="8713" max="8713" width="12" customWidth="1"/>
    <col min="8716" max="8716" width="51" customWidth="1"/>
    <col min="8720" max="8720" width="27.5703125" customWidth="1"/>
    <col min="8722" max="8722" width="13" customWidth="1"/>
    <col min="8723" max="8723" width="15.42578125" customWidth="1"/>
    <col min="8725" max="8725" width="12.5703125" customWidth="1"/>
    <col min="8726" max="8726" width="13.28515625" customWidth="1"/>
    <col min="8736" max="8736" width="12.5703125" customWidth="1"/>
    <col min="8741" max="8741" width="13.140625" customWidth="1"/>
    <col min="8742" max="8742" width="14.28515625" customWidth="1"/>
    <col min="8743" max="8745" width="15" customWidth="1"/>
    <col min="8748" max="8748" width="51" customWidth="1"/>
    <col min="8753" max="8753" width="52.140625" customWidth="1"/>
    <col min="8756" max="8756" width="13.5703125" customWidth="1"/>
    <col min="8758" max="8764" width="12.7109375" customWidth="1"/>
    <col min="8765" max="8765" width="13.5703125" customWidth="1"/>
    <col min="8961" max="8961" width="15" customWidth="1"/>
    <col min="8964" max="8964" width="12.7109375" customWidth="1"/>
    <col min="8966" max="8966" width="15.7109375" customWidth="1"/>
    <col min="8969" max="8969" width="12" customWidth="1"/>
    <col min="8972" max="8972" width="51" customWidth="1"/>
    <col min="8976" max="8976" width="27.5703125" customWidth="1"/>
    <col min="8978" max="8978" width="13" customWidth="1"/>
    <col min="8979" max="8979" width="15.42578125" customWidth="1"/>
    <col min="8981" max="8981" width="12.5703125" customWidth="1"/>
    <col min="8982" max="8982" width="13.28515625" customWidth="1"/>
    <col min="8992" max="8992" width="12.5703125" customWidth="1"/>
    <col min="8997" max="8997" width="13.140625" customWidth="1"/>
    <col min="8998" max="8998" width="14.28515625" customWidth="1"/>
    <col min="8999" max="9001" width="15" customWidth="1"/>
    <col min="9004" max="9004" width="51" customWidth="1"/>
    <col min="9009" max="9009" width="52.140625" customWidth="1"/>
    <col min="9012" max="9012" width="13.5703125" customWidth="1"/>
    <col min="9014" max="9020" width="12.7109375" customWidth="1"/>
    <col min="9021" max="9021" width="13.5703125" customWidth="1"/>
    <col min="9217" max="9217" width="15" customWidth="1"/>
    <col min="9220" max="9220" width="12.7109375" customWidth="1"/>
    <col min="9222" max="9222" width="15.7109375" customWidth="1"/>
    <col min="9225" max="9225" width="12" customWidth="1"/>
    <col min="9228" max="9228" width="51" customWidth="1"/>
    <col min="9232" max="9232" width="27.5703125" customWidth="1"/>
    <col min="9234" max="9234" width="13" customWidth="1"/>
    <col min="9235" max="9235" width="15.42578125" customWidth="1"/>
    <col min="9237" max="9237" width="12.5703125" customWidth="1"/>
    <col min="9238" max="9238" width="13.28515625" customWidth="1"/>
    <col min="9248" max="9248" width="12.5703125" customWidth="1"/>
    <col min="9253" max="9253" width="13.140625" customWidth="1"/>
    <col min="9254" max="9254" width="14.28515625" customWidth="1"/>
    <col min="9255" max="9257" width="15" customWidth="1"/>
    <col min="9260" max="9260" width="51" customWidth="1"/>
    <col min="9265" max="9265" width="52.140625" customWidth="1"/>
    <col min="9268" max="9268" width="13.5703125" customWidth="1"/>
    <col min="9270" max="9276" width="12.7109375" customWidth="1"/>
    <col min="9277" max="9277" width="13.5703125" customWidth="1"/>
    <col min="9473" max="9473" width="15" customWidth="1"/>
    <col min="9476" max="9476" width="12.7109375" customWidth="1"/>
    <col min="9478" max="9478" width="15.7109375" customWidth="1"/>
    <col min="9481" max="9481" width="12" customWidth="1"/>
    <col min="9484" max="9484" width="51" customWidth="1"/>
    <col min="9488" max="9488" width="27.5703125" customWidth="1"/>
    <col min="9490" max="9490" width="13" customWidth="1"/>
    <col min="9491" max="9491" width="15.42578125" customWidth="1"/>
    <col min="9493" max="9493" width="12.5703125" customWidth="1"/>
    <col min="9494" max="9494" width="13.28515625" customWidth="1"/>
    <col min="9504" max="9504" width="12.5703125" customWidth="1"/>
    <col min="9509" max="9509" width="13.140625" customWidth="1"/>
    <col min="9510" max="9510" width="14.28515625" customWidth="1"/>
    <col min="9511" max="9513" width="15" customWidth="1"/>
    <col min="9516" max="9516" width="51" customWidth="1"/>
    <col min="9521" max="9521" width="52.140625" customWidth="1"/>
    <col min="9524" max="9524" width="13.5703125" customWidth="1"/>
    <col min="9526" max="9532" width="12.7109375" customWidth="1"/>
    <col min="9533" max="9533" width="13.5703125" customWidth="1"/>
    <col min="9729" max="9729" width="15" customWidth="1"/>
    <col min="9732" max="9732" width="12.7109375" customWidth="1"/>
    <col min="9734" max="9734" width="15.7109375" customWidth="1"/>
    <col min="9737" max="9737" width="12" customWidth="1"/>
    <col min="9740" max="9740" width="51" customWidth="1"/>
    <col min="9744" max="9744" width="27.5703125" customWidth="1"/>
    <col min="9746" max="9746" width="13" customWidth="1"/>
    <col min="9747" max="9747" width="15.42578125" customWidth="1"/>
    <col min="9749" max="9749" width="12.5703125" customWidth="1"/>
    <col min="9750" max="9750" width="13.28515625" customWidth="1"/>
    <col min="9760" max="9760" width="12.5703125" customWidth="1"/>
    <col min="9765" max="9765" width="13.140625" customWidth="1"/>
    <col min="9766" max="9766" width="14.28515625" customWidth="1"/>
    <col min="9767" max="9769" width="15" customWidth="1"/>
    <col min="9772" max="9772" width="51" customWidth="1"/>
    <col min="9777" max="9777" width="52.140625" customWidth="1"/>
    <col min="9780" max="9780" width="13.5703125" customWidth="1"/>
    <col min="9782" max="9788" width="12.7109375" customWidth="1"/>
    <col min="9789" max="9789" width="13.5703125" customWidth="1"/>
    <col min="9985" max="9985" width="15" customWidth="1"/>
    <col min="9988" max="9988" width="12.7109375" customWidth="1"/>
    <col min="9990" max="9990" width="15.7109375" customWidth="1"/>
    <col min="9993" max="9993" width="12" customWidth="1"/>
    <col min="9996" max="9996" width="51" customWidth="1"/>
    <col min="10000" max="10000" width="27.5703125" customWidth="1"/>
    <col min="10002" max="10002" width="13" customWidth="1"/>
    <col min="10003" max="10003" width="15.42578125" customWidth="1"/>
    <col min="10005" max="10005" width="12.5703125" customWidth="1"/>
    <col min="10006" max="10006" width="13.28515625" customWidth="1"/>
    <col min="10016" max="10016" width="12.5703125" customWidth="1"/>
    <col min="10021" max="10021" width="13.140625" customWidth="1"/>
    <col min="10022" max="10022" width="14.28515625" customWidth="1"/>
    <col min="10023" max="10025" width="15" customWidth="1"/>
    <col min="10028" max="10028" width="51" customWidth="1"/>
    <col min="10033" max="10033" width="52.140625" customWidth="1"/>
    <col min="10036" max="10036" width="13.5703125" customWidth="1"/>
    <col min="10038" max="10044" width="12.7109375" customWidth="1"/>
    <col min="10045" max="10045" width="13.5703125" customWidth="1"/>
    <col min="10241" max="10241" width="15" customWidth="1"/>
    <col min="10244" max="10244" width="12.7109375" customWidth="1"/>
    <col min="10246" max="10246" width="15.7109375" customWidth="1"/>
    <col min="10249" max="10249" width="12" customWidth="1"/>
    <col min="10252" max="10252" width="51" customWidth="1"/>
    <col min="10256" max="10256" width="27.5703125" customWidth="1"/>
    <col min="10258" max="10258" width="13" customWidth="1"/>
    <col min="10259" max="10259" width="15.42578125" customWidth="1"/>
    <col min="10261" max="10261" width="12.5703125" customWidth="1"/>
    <col min="10262" max="10262" width="13.28515625" customWidth="1"/>
    <col min="10272" max="10272" width="12.5703125" customWidth="1"/>
    <col min="10277" max="10277" width="13.140625" customWidth="1"/>
    <col min="10278" max="10278" width="14.28515625" customWidth="1"/>
    <col min="10279" max="10281" width="15" customWidth="1"/>
    <col min="10284" max="10284" width="51" customWidth="1"/>
    <col min="10289" max="10289" width="52.140625" customWidth="1"/>
    <col min="10292" max="10292" width="13.5703125" customWidth="1"/>
    <col min="10294" max="10300" width="12.7109375" customWidth="1"/>
    <col min="10301" max="10301" width="13.5703125" customWidth="1"/>
    <col min="10497" max="10497" width="15" customWidth="1"/>
    <col min="10500" max="10500" width="12.7109375" customWidth="1"/>
    <col min="10502" max="10502" width="15.7109375" customWidth="1"/>
    <col min="10505" max="10505" width="12" customWidth="1"/>
    <col min="10508" max="10508" width="51" customWidth="1"/>
    <col min="10512" max="10512" width="27.5703125" customWidth="1"/>
    <col min="10514" max="10514" width="13" customWidth="1"/>
    <col min="10515" max="10515" width="15.42578125" customWidth="1"/>
    <col min="10517" max="10517" width="12.5703125" customWidth="1"/>
    <col min="10518" max="10518" width="13.28515625" customWidth="1"/>
    <col min="10528" max="10528" width="12.5703125" customWidth="1"/>
    <col min="10533" max="10533" width="13.140625" customWidth="1"/>
    <col min="10534" max="10534" width="14.28515625" customWidth="1"/>
    <col min="10535" max="10537" width="15" customWidth="1"/>
    <col min="10540" max="10540" width="51" customWidth="1"/>
    <col min="10545" max="10545" width="52.140625" customWidth="1"/>
    <col min="10548" max="10548" width="13.5703125" customWidth="1"/>
    <col min="10550" max="10556" width="12.7109375" customWidth="1"/>
    <col min="10557" max="10557" width="13.5703125" customWidth="1"/>
    <col min="10753" max="10753" width="15" customWidth="1"/>
    <col min="10756" max="10756" width="12.7109375" customWidth="1"/>
    <col min="10758" max="10758" width="15.7109375" customWidth="1"/>
    <col min="10761" max="10761" width="12" customWidth="1"/>
    <col min="10764" max="10764" width="51" customWidth="1"/>
    <col min="10768" max="10768" width="27.5703125" customWidth="1"/>
    <col min="10770" max="10770" width="13" customWidth="1"/>
    <col min="10771" max="10771" width="15.42578125" customWidth="1"/>
    <col min="10773" max="10773" width="12.5703125" customWidth="1"/>
    <col min="10774" max="10774" width="13.28515625" customWidth="1"/>
    <col min="10784" max="10784" width="12.5703125" customWidth="1"/>
    <col min="10789" max="10789" width="13.140625" customWidth="1"/>
    <col min="10790" max="10790" width="14.28515625" customWidth="1"/>
    <col min="10791" max="10793" width="15" customWidth="1"/>
    <col min="10796" max="10796" width="51" customWidth="1"/>
    <col min="10801" max="10801" width="52.140625" customWidth="1"/>
    <col min="10804" max="10804" width="13.5703125" customWidth="1"/>
    <col min="10806" max="10812" width="12.7109375" customWidth="1"/>
    <col min="10813" max="10813" width="13.5703125" customWidth="1"/>
    <col min="11009" max="11009" width="15" customWidth="1"/>
    <col min="11012" max="11012" width="12.7109375" customWidth="1"/>
    <col min="11014" max="11014" width="15.7109375" customWidth="1"/>
    <col min="11017" max="11017" width="12" customWidth="1"/>
    <col min="11020" max="11020" width="51" customWidth="1"/>
    <col min="11024" max="11024" width="27.5703125" customWidth="1"/>
    <col min="11026" max="11026" width="13" customWidth="1"/>
    <col min="11027" max="11027" width="15.42578125" customWidth="1"/>
    <col min="11029" max="11029" width="12.5703125" customWidth="1"/>
    <col min="11030" max="11030" width="13.28515625" customWidth="1"/>
    <col min="11040" max="11040" width="12.5703125" customWidth="1"/>
    <col min="11045" max="11045" width="13.140625" customWidth="1"/>
    <col min="11046" max="11046" width="14.28515625" customWidth="1"/>
    <col min="11047" max="11049" width="15" customWidth="1"/>
    <col min="11052" max="11052" width="51" customWidth="1"/>
    <col min="11057" max="11057" width="52.140625" customWidth="1"/>
    <col min="11060" max="11060" width="13.5703125" customWidth="1"/>
    <col min="11062" max="11068" width="12.7109375" customWidth="1"/>
    <col min="11069" max="11069" width="13.5703125" customWidth="1"/>
    <col min="11265" max="11265" width="15" customWidth="1"/>
    <col min="11268" max="11268" width="12.7109375" customWidth="1"/>
    <col min="11270" max="11270" width="15.7109375" customWidth="1"/>
    <col min="11273" max="11273" width="12" customWidth="1"/>
    <col min="11276" max="11276" width="51" customWidth="1"/>
    <col min="11280" max="11280" width="27.5703125" customWidth="1"/>
    <col min="11282" max="11282" width="13" customWidth="1"/>
    <col min="11283" max="11283" width="15.42578125" customWidth="1"/>
    <col min="11285" max="11285" width="12.5703125" customWidth="1"/>
    <col min="11286" max="11286" width="13.28515625" customWidth="1"/>
    <col min="11296" max="11296" width="12.5703125" customWidth="1"/>
    <col min="11301" max="11301" width="13.140625" customWidth="1"/>
    <col min="11302" max="11302" width="14.28515625" customWidth="1"/>
    <col min="11303" max="11305" width="15" customWidth="1"/>
    <col min="11308" max="11308" width="51" customWidth="1"/>
    <col min="11313" max="11313" width="52.140625" customWidth="1"/>
    <col min="11316" max="11316" width="13.5703125" customWidth="1"/>
    <col min="11318" max="11324" width="12.7109375" customWidth="1"/>
    <col min="11325" max="11325" width="13.5703125" customWidth="1"/>
    <col min="11521" max="11521" width="15" customWidth="1"/>
    <col min="11524" max="11524" width="12.7109375" customWidth="1"/>
    <col min="11526" max="11526" width="15.7109375" customWidth="1"/>
    <col min="11529" max="11529" width="12" customWidth="1"/>
    <col min="11532" max="11532" width="51" customWidth="1"/>
    <col min="11536" max="11536" width="27.5703125" customWidth="1"/>
    <col min="11538" max="11538" width="13" customWidth="1"/>
    <col min="11539" max="11539" width="15.42578125" customWidth="1"/>
    <col min="11541" max="11541" width="12.5703125" customWidth="1"/>
    <col min="11542" max="11542" width="13.28515625" customWidth="1"/>
    <col min="11552" max="11552" width="12.5703125" customWidth="1"/>
    <col min="11557" max="11557" width="13.140625" customWidth="1"/>
    <col min="11558" max="11558" width="14.28515625" customWidth="1"/>
    <col min="11559" max="11561" width="15" customWidth="1"/>
    <col min="11564" max="11564" width="51" customWidth="1"/>
    <col min="11569" max="11569" width="52.140625" customWidth="1"/>
    <col min="11572" max="11572" width="13.5703125" customWidth="1"/>
    <col min="11574" max="11580" width="12.7109375" customWidth="1"/>
    <col min="11581" max="11581" width="13.5703125" customWidth="1"/>
    <col min="11777" max="11777" width="15" customWidth="1"/>
    <col min="11780" max="11780" width="12.7109375" customWidth="1"/>
    <col min="11782" max="11782" width="15.7109375" customWidth="1"/>
    <col min="11785" max="11785" width="12" customWidth="1"/>
    <col min="11788" max="11788" width="51" customWidth="1"/>
    <col min="11792" max="11792" width="27.5703125" customWidth="1"/>
    <col min="11794" max="11794" width="13" customWidth="1"/>
    <col min="11795" max="11795" width="15.42578125" customWidth="1"/>
    <col min="11797" max="11797" width="12.5703125" customWidth="1"/>
    <col min="11798" max="11798" width="13.28515625" customWidth="1"/>
    <col min="11808" max="11808" width="12.5703125" customWidth="1"/>
    <col min="11813" max="11813" width="13.140625" customWidth="1"/>
    <col min="11814" max="11814" width="14.28515625" customWidth="1"/>
    <col min="11815" max="11817" width="15" customWidth="1"/>
    <col min="11820" max="11820" width="51" customWidth="1"/>
    <col min="11825" max="11825" width="52.140625" customWidth="1"/>
    <col min="11828" max="11828" width="13.5703125" customWidth="1"/>
    <col min="11830" max="11836" width="12.7109375" customWidth="1"/>
    <col min="11837" max="11837" width="13.5703125" customWidth="1"/>
    <col min="12033" max="12033" width="15" customWidth="1"/>
    <col min="12036" max="12036" width="12.7109375" customWidth="1"/>
    <col min="12038" max="12038" width="15.7109375" customWidth="1"/>
    <col min="12041" max="12041" width="12" customWidth="1"/>
    <col min="12044" max="12044" width="51" customWidth="1"/>
    <col min="12048" max="12048" width="27.5703125" customWidth="1"/>
    <col min="12050" max="12050" width="13" customWidth="1"/>
    <col min="12051" max="12051" width="15.42578125" customWidth="1"/>
    <col min="12053" max="12053" width="12.5703125" customWidth="1"/>
    <col min="12054" max="12054" width="13.28515625" customWidth="1"/>
    <col min="12064" max="12064" width="12.5703125" customWidth="1"/>
    <col min="12069" max="12069" width="13.140625" customWidth="1"/>
    <col min="12070" max="12070" width="14.28515625" customWidth="1"/>
    <col min="12071" max="12073" width="15" customWidth="1"/>
    <col min="12076" max="12076" width="51" customWidth="1"/>
    <col min="12081" max="12081" width="52.140625" customWidth="1"/>
    <col min="12084" max="12084" width="13.5703125" customWidth="1"/>
    <col min="12086" max="12092" width="12.7109375" customWidth="1"/>
    <col min="12093" max="12093" width="13.5703125" customWidth="1"/>
    <col min="12289" max="12289" width="15" customWidth="1"/>
    <col min="12292" max="12292" width="12.7109375" customWidth="1"/>
    <col min="12294" max="12294" width="15.7109375" customWidth="1"/>
    <col min="12297" max="12297" width="12" customWidth="1"/>
    <col min="12300" max="12300" width="51" customWidth="1"/>
    <col min="12304" max="12304" width="27.5703125" customWidth="1"/>
    <col min="12306" max="12306" width="13" customWidth="1"/>
    <col min="12307" max="12307" width="15.42578125" customWidth="1"/>
    <col min="12309" max="12309" width="12.5703125" customWidth="1"/>
    <col min="12310" max="12310" width="13.28515625" customWidth="1"/>
    <col min="12320" max="12320" width="12.5703125" customWidth="1"/>
    <col min="12325" max="12325" width="13.140625" customWidth="1"/>
    <col min="12326" max="12326" width="14.28515625" customWidth="1"/>
    <col min="12327" max="12329" width="15" customWidth="1"/>
    <col min="12332" max="12332" width="51" customWidth="1"/>
    <col min="12337" max="12337" width="52.140625" customWidth="1"/>
    <col min="12340" max="12340" width="13.5703125" customWidth="1"/>
    <col min="12342" max="12348" width="12.7109375" customWidth="1"/>
    <col min="12349" max="12349" width="13.5703125" customWidth="1"/>
    <col min="12545" max="12545" width="15" customWidth="1"/>
    <col min="12548" max="12548" width="12.7109375" customWidth="1"/>
    <col min="12550" max="12550" width="15.7109375" customWidth="1"/>
    <col min="12553" max="12553" width="12" customWidth="1"/>
    <col min="12556" max="12556" width="51" customWidth="1"/>
    <col min="12560" max="12560" width="27.5703125" customWidth="1"/>
    <col min="12562" max="12562" width="13" customWidth="1"/>
    <col min="12563" max="12563" width="15.42578125" customWidth="1"/>
    <col min="12565" max="12565" width="12.5703125" customWidth="1"/>
    <col min="12566" max="12566" width="13.28515625" customWidth="1"/>
    <col min="12576" max="12576" width="12.5703125" customWidth="1"/>
    <col min="12581" max="12581" width="13.140625" customWidth="1"/>
    <col min="12582" max="12582" width="14.28515625" customWidth="1"/>
    <col min="12583" max="12585" width="15" customWidth="1"/>
    <col min="12588" max="12588" width="51" customWidth="1"/>
    <col min="12593" max="12593" width="52.140625" customWidth="1"/>
    <col min="12596" max="12596" width="13.5703125" customWidth="1"/>
    <col min="12598" max="12604" width="12.7109375" customWidth="1"/>
    <col min="12605" max="12605" width="13.5703125" customWidth="1"/>
    <col min="12801" max="12801" width="15" customWidth="1"/>
    <col min="12804" max="12804" width="12.7109375" customWidth="1"/>
    <col min="12806" max="12806" width="15.7109375" customWidth="1"/>
    <col min="12809" max="12809" width="12" customWidth="1"/>
    <col min="12812" max="12812" width="51" customWidth="1"/>
    <col min="12816" max="12816" width="27.5703125" customWidth="1"/>
    <col min="12818" max="12818" width="13" customWidth="1"/>
    <col min="12819" max="12819" width="15.42578125" customWidth="1"/>
    <col min="12821" max="12821" width="12.5703125" customWidth="1"/>
    <col min="12822" max="12822" width="13.28515625" customWidth="1"/>
    <col min="12832" max="12832" width="12.5703125" customWidth="1"/>
    <col min="12837" max="12837" width="13.140625" customWidth="1"/>
    <col min="12838" max="12838" width="14.28515625" customWidth="1"/>
    <col min="12839" max="12841" width="15" customWidth="1"/>
    <col min="12844" max="12844" width="51" customWidth="1"/>
    <col min="12849" max="12849" width="52.140625" customWidth="1"/>
    <col min="12852" max="12852" width="13.5703125" customWidth="1"/>
    <col min="12854" max="12860" width="12.7109375" customWidth="1"/>
    <col min="12861" max="12861" width="13.5703125" customWidth="1"/>
    <col min="13057" max="13057" width="15" customWidth="1"/>
    <col min="13060" max="13060" width="12.7109375" customWidth="1"/>
    <col min="13062" max="13062" width="15.7109375" customWidth="1"/>
    <col min="13065" max="13065" width="12" customWidth="1"/>
    <col min="13068" max="13068" width="51" customWidth="1"/>
    <col min="13072" max="13072" width="27.5703125" customWidth="1"/>
    <col min="13074" max="13074" width="13" customWidth="1"/>
    <col min="13075" max="13075" width="15.42578125" customWidth="1"/>
    <col min="13077" max="13077" width="12.5703125" customWidth="1"/>
    <col min="13078" max="13078" width="13.28515625" customWidth="1"/>
    <col min="13088" max="13088" width="12.5703125" customWidth="1"/>
    <col min="13093" max="13093" width="13.140625" customWidth="1"/>
    <col min="13094" max="13094" width="14.28515625" customWidth="1"/>
    <col min="13095" max="13097" width="15" customWidth="1"/>
    <col min="13100" max="13100" width="51" customWidth="1"/>
    <col min="13105" max="13105" width="52.140625" customWidth="1"/>
    <col min="13108" max="13108" width="13.5703125" customWidth="1"/>
    <col min="13110" max="13116" width="12.7109375" customWidth="1"/>
    <col min="13117" max="13117" width="13.5703125" customWidth="1"/>
    <col min="13313" max="13313" width="15" customWidth="1"/>
    <col min="13316" max="13316" width="12.7109375" customWidth="1"/>
    <col min="13318" max="13318" width="15.7109375" customWidth="1"/>
    <col min="13321" max="13321" width="12" customWidth="1"/>
    <col min="13324" max="13324" width="51" customWidth="1"/>
    <col min="13328" max="13328" width="27.5703125" customWidth="1"/>
    <col min="13330" max="13330" width="13" customWidth="1"/>
    <col min="13331" max="13331" width="15.42578125" customWidth="1"/>
    <col min="13333" max="13333" width="12.5703125" customWidth="1"/>
    <col min="13334" max="13334" width="13.28515625" customWidth="1"/>
    <col min="13344" max="13344" width="12.5703125" customWidth="1"/>
    <col min="13349" max="13349" width="13.140625" customWidth="1"/>
    <col min="13350" max="13350" width="14.28515625" customWidth="1"/>
    <col min="13351" max="13353" width="15" customWidth="1"/>
    <col min="13356" max="13356" width="51" customWidth="1"/>
    <col min="13361" max="13361" width="52.140625" customWidth="1"/>
    <col min="13364" max="13364" width="13.5703125" customWidth="1"/>
    <col min="13366" max="13372" width="12.7109375" customWidth="1"/>
    <col min="13373" max="13373" width="13.5703125" customWidth="1"/>
    <col min="13569" max="13569" width="15" customWidth="1"/>
    <col min="13572" max="13572" width="12.7109375" customWidth="1"/>
    <col min="13574" max="13574" width="15.7109375" customWidth="1"/>
    <col min="13577" max="13577" width="12" customWidth="1"/>
    <col min="13580" max="13580" width="51" customWidth="1"/>
    <col min="13584" max="13584" width="27.5703125" customWidth="1"/>
    <col min="13586" max="13586" width="13" customWidth="1"/>
    <col min="13587" max="13587" width="15.42578125" customWidth="1"/>
    <col min="13589" max="13589" width="12.5703125" customWidth="1"/>
    <col min="13590" max="13590" width="13.28515625" customWidth="1"/>
    <col min="13600" max="13600" width="12.5703125" customWidth="1"/>
    <col min="13605" max="13605" width="13.140625" customWidth="1"/>
    <col min="13606" max="13606" width="14.28515625" customWidth="1"/>
    <col min="13607" max="13609" width="15" customWidth="1"/>
    <col min="13612" max="13612" width="51" customWidth="1"/>
    <col min="13617" max="13617" width="52.140625" customWidth="1"/>
    <col min="13620" max="13620" width="13.5703125" customWidth="1"/>
    <col min="13622" max="13628" width="12.7109375" customWidth="1"/>
    <col min="13629" max="13629" width="13.5703125" customWidth="1"/>
    <col min="13825" max="13825" width="15" customWidth="1"/>
    <col min="13828" max="13828" width="12.7109375" customWidth="1"/>
    <col min="13830" max="13830" width="15.7109375" customWidth="1"/>
    <col min="13833" max="13833" width="12" customWidth="1"/>
    <col min="13836" max="13836" width="51" customWidth="1"/>
    <col min="13840" max="13840" width="27.5703125" customWidth="1"/>
    <col min="13842" max="13842" width="13" customWidth="1"/>
    <col min="13843" max="13843" width="15.42578125" customWidth="1"/>
    <col min="13845" max="13845" width="12.5703125" customWidth="1"/>
    <col min="13846" max="13846" width="13.28515625" customWidth="1"/>
    <col min="13856" max="13856" width="12.5703125" customWidth="1"/>
    <col min="13861" max="13861" width="13.140625" customWidth="1"/>
    <col min="13862" max="13862" width="14.28515625" customWidth="1"/>
    <col min="13863" max="13865" width="15" customWidth="1"/>
    <col min="13868" max="13868" width="51" customWidth="1"/>
    <col min="13873" max="13873" width="52.140625" customWidth="1"/>
    <col min="13876" max="13876" width="13.5703125" customWidth="1"/>
    <col min="13878" max="13884" width="12.7109375" customWidth="1"/>
    <col min="13885" max="13885" width="13.5703125" customWidth="1"/>
    <col min="14081" max="14081" width="15" customWidth="1"/>
    <col min="14084" max="14084" width="12.7109375" customWidth="1"/>
    <col min="14086" max="14086" width="15.7109375" customWidth="1"/>
    <col min="14089" max="14089" width="12" customWidth="1"/>
    <col min="14092" max="14092" width="51" customWidth="1"/>
    <col min="14096" max="14096" width="27.5703125" customWidth="1"/>
    <col min="14098" max="14098" width="13" customWidth="1"/>
    <col min="14099" max="14099" width="15.42578125" customWidth="1"/>
    <col min="14101" max="14101" width="12.5703125" customWidth="1"/>
    <col min="14102" max="14102" width="13.28515625" customWidth="1"/>
    <col min="14112" max="14112" width="12.5703125" customWidth="1"/>
    <col min="14117" max="14117" width="13.140625" customWidth="1"/>
    <col min="14118" max="14118" width="14.28515625" customWidth="1"/>
    <col min="14119" max="14121" width="15" customWidth="1"/>
    <col min="14124" max="14124" width="51" customWidth="1"/>
    <col min="14129" max="14129" width="52.140625" customWidth="1"/>
    <col min="14132" max="14132" width="13.5703125" customWidth="1"/>
    <col min="14134" max="14140" width="12.7109375" customWidth="1"/>
    <col min="14141" max="14141" width="13.5703125" customWidth="1"/>
    <col min="14337" max="14337" width="15" customWidth="1"/>
    <col min="14340" max="14340" width="12.7109375" customWidth="1"/>
    <col min="14342" max="14342" width="15.7109375" customWidth="1"/>
    <col min="14345" max="14345" width="12" customWidth="1"/>
    <col min="14348" max="14348" width="51" customWidth="1"/>
    <col min="14352" max="14352" width="27.5703125" customWidth="1"/>
    <col min="14354" max="14354" width="13" customWidth="1"/>
    <col min="14355" max="14355" width="15.42578125" customWidth="1"/>
    <col min="14357" max="14357" width="12.5703125" customWidth="1"/>
    <col min="14358" max="14358" width="13.28515625" customWidth="1"/>
    <col min="14368" max="14368" width="12.5703125" customWidth="1"/>
    <col min="14373" max="14373" width="13.140625" customWidth="1"/>
    <col min="14374" max="14374" width="14.28515625" customWidth="1"/>
    <col min="14375" max="14377" width="15" customWidth="1"/>
    <col min="14380" max="14380" width="51" customWidth="1"/>
    <col min="14385" max="14385" width="52.140625" customWidth="1"/>
    <col min="14388" max="14388" width="13.5703125" customWidth="1"/>
    <col min="14390" max="14396" width="12.7109375" customWidth="1"/>
    <col min="14397" max="14397" width="13.5703125" customWidth="1"/>
    <col min="14593" max="14593" width="15" customWidth="1"/>
    <col min="14596" max="14596" width="12.7109375" customWidth="1"/>
    <col min="14598" max="14598" width="15.7109375" customWidth="1"/>
    <col min="14601" max="14601" width="12" customWidth="1"/>
    <col min="14604" max="14604" width="51" customWidth="1"/>
    <col min="14608" max="14608" width="27.5703125" customWidth="1"/>
    <col min="14610" max="14610" width="13" customWidth="1"/>
    <col min="14611" max="14611" width="15.42578125" customWidth="1"/>
    <col min="14613" max="14613" width="12.5703125" customWidth="1"/>
    <col min="14614" max="14614" width="13.28515625" customWidth="1"/>
    <col min="14624" max="14624" width="12.5703125" customWidth="1"/>
    <col min="14629" max="14629" width="13.140625" customWidth="1"/>
    <col min="14630" max="14630" width="14.28515625" customWidth="1"/>
    <col min="14631" max="14633" width="15" customWidth="1"/>
    <col min="14636" max="14636" width="51" customWidth="1"/>
    <col min="14641" max="14641" width="52.140625" customWidth="1"/>
    <col min="14644" max="14644" width="13.5703125" customWidth="1"/>
    <col min="14646" max="14652" width="12.7109375" customWidth="1"/>
    <col min="14653" max="14653" width="13.5703125" customWidth="1"/>
    <col min="14849" max="14849" width="15" customWidth="1"/>
    <col min="14852" max="14852" width="12.7109375" customWidth="1"/>
    <col min="14854" max="14854" width="15.7109375" customWidth="1"/>
    <col min="14857" max="14857" width="12" customWidth="1"/>
    <col min="14860" max="14860" width="51" customWidth="1"/>
    <col min="14864" max="14864" width="27.5703125" customWidth="1"/>
    <col min="14866" max="14866" width="13" customWidth="1"/>
    <col min="14867" max="14867" width="15.42578125" customWidth="1"/>
    <col min="14869" max="14869" width="12.5703125" customWidth="1"/>
    <col min="14870" max="14870" width="13.28515625" customWidth="1"/>
    <col min="14880" max="14880" width="12.5703125" customWidth="1"/>
    <col min="14885" max="14885" width="13.140625" customWidth="1"/>
    <col min="14886" max="14886" width="14.28515625" customWidth="1"/>
    <col min="14887" max="14889" width="15" customWidth="1"/>
    <col min="14892" max="14892" width="51" customWidth="1"/>
    <col min="14897" max="14897" width="52.140625" customWidth="1"/>
    <col min="14900" max="14900" width="13.5703125" customWidth="1"/>
    <col min="14902" max="14908" width="12.7109375" customWidth="1"/>
    <col min="14909" max="14909" width="13.5703125" customWidth="1"/>
    <col min="15105" max="15105" width="15" customWidth="1"/>
    <col min="15108" max="15108" width="12.7109375" customWidth="1"/>
    <col min="15110" max="15110" width="15.7109375" customWidth="1"/>
    <col min="15113" max="15113" width="12" customWidth="1"/>
    <col min="15116" max="15116" width="51" customWidth="1"/>
    <col min="15120" max="15120" width="27.5703125" customWidth="1"/>
    <col min="15122" max="15122" width="13" customWidth="1"/>
    <col min="15123" max="15123" width="15.42578125" customWidth="1"/>
    <col min="15125" max="15125" width="12.5703125" customWidth="1"/>
    <col min="15126" max="15126" width="13.28515625" customWidth="1"/>
    <col min="15136" max="15136" width="12.5703125" customWidth="1"/>
    <col min="15141" max="15141" width="13.140625" customWidth="1"/>
    <col min="15142" max="15142" width="14.28515625" customWidth="1"/>
    <col min="15143" max="15145" width="15" customWidth="1"/>
    <col min="15148" max="15148" width="51" customWidth="1"/>
    <col min="15153" max="15153" width="52.140625" customWidth="1"/>
    <col min="15156" max="15156" width="13.5703125" customWidth="1"/>
    <col min="15158" max="15164" width="12.7109375" customWidth="1"/>
    <col min="15165" max="15165" width="13.5703125" customWidth="1"/>
    <col min="15361" max="15361" width="15" customWidth="1"/>
    <col min="15364" max="15364" width="12.7109375" customWidth="1"/>
    <col min="15366" max="15366" width="15.7109375" customWidth="1"/>
    <col min="15369" max="15369" width="12" customWidth="1"/>
    <col min="15372" max="15372" width="51" customWidth="1"/>
    <col min="15376" max="15376" width="27.5703125" customWidth="1"/>
    <col min="15378" max="15378" width="13" customWidth="1"/>
    <col min="15379" max="15379" width="15.42578125" customWidth="1"/>
    <col min="15381" max="15381" width="12.5703125" customWidth="1"/>
    <col min="15382" max="15382" width="13.28515625" customWidth="1"/>
    <col min="15392" max="15392" width="12.5703125" customWidth="1"/>
    <col min="15397" max="15397" width="13.140625" customWidth="1"/>
    <col min="15398" max="15398" width="14.28515625" customWidth="1"/>
    <col min="15399" max="15401" width="15" customWidth="1"/>
    <col min="15404" max="15404" width="51" customWidth="1"/>
    <col min="15409" max="15409" width="52.140625" customWidth="1"/>
    <col min="15412" max="15412" width="13.5703125" customWidth="1"/>
    <col min="15414" max="15420" width="12.7109375" customWidth="1"/>
    <col min="15421" max="15421" width="13.5703125" customWidth="1"/>
    <col min="15617" max="15617" width="15" customWidth="1"/>
    <col min="15620" max="15620" width="12.7109375" customWidth="1"/>
    <col min="15622" max="15622" width="15.7109375" customWidth="1"/>
    <col min="15625" max="15625" width="12" customWidth="1"/>
    <col min="15628" max="15628" width="51" customWidth="1"/>
    <col min="15632" max="15632" width="27.5703125" customWidth="1"/>
    <col min="15634" max="15634" width="13" customWidth="1"/>
    <col min="15635" max="15635" width="15.42578125" customWidth="1"/>
    <col min="15637" max="15637" width="12.5703125" customWidth="1"/>
    <col min="15638" max="15638" width="13.28515625" customWidth="1"/>
    <col min="15648" max="15648" width="12.5703125" customWidth="1"/>
    <col min="15653" max="15653" width="13.140625" customWidth="1"/>
    <col min="15654" max="15654" width="14.28515625" customWidth="1"/>
    <col min="15655" max="15657" width="15" customWidth="1"/>
    <col min="15660" max="15660" width="51" customWidth="1"/>
    <col min="15665" max="15665" width="52.140625" customWidth="1"/>
    <col min="15668" max="15668" width="13.5703125" customWidth="1"/>
    <col min="15670" max="15676" width="12.7109375" customWidth="1"/>
    <col min="15677" max="15677" width="13.5703125" customWidth="1"/>
    <col min="15873" max="15873" width="15" customWidth="1"/>
    <col min="15876" max="15876" width="12.7109375" customWidth="1"/>
    <col min="15878" max="15878" width="15.7109375" customWidth="1"/>
    <col min="15881" max="15881" width="12" customWidth="1"/>
    <col min="15884" max="15884" width="51" customWidth="1"/>
    <col min="15888" max="15888" width="27.5703125" customWidth="1"/>
    <col min="15890" max="15890" width="13" customWidth="1"/>
    <col min="15891" max="15891" width="15.42578125" customWidth="1"/>
    <col min="15893" max="15893" width="12.5703125" customWidth="1"/>
    <col min="15894" max="15894" width="13.28515625" customWidth="1"/>
    <col min="15904" max="15904" width="12.5703125" customWidth="1"/>
    <col min="15909" max="15909" width="13.140625" customWidth="1"/>
    <col min="15910" max="15910" width="14.28515625" customWidth="1"/>
    <col min="15911" max="15913" width="15" customWidth="1"/>
    <col min="15916" max="15916" width="51" customWidth="1"/>
    <col min="15921" max="15921" width="52.140625" customWidth="1"/>
    <col min="15924" max="15924" width="13.5703125" customWidth="1"/>
    <col min="15926" max="15932" width="12.7109375" customWidth="1"/>
    <col min="15933" max="15933" width="13.5703125" customWidth="1"/>
    <col min="16129" max="16129" width="15" customWidth="1"/>
    <col min="16132" max="16132" width="12.7109375" customWidth="1"/>
    <col min="16134" max="16134" width="15.7109375" customWidth="1"/>
    <col min="16137" max="16137" width="12" customWidth="1"/>
    <col min="16140" max="16140" width="51" customWidth="1"/>
    <col min="16144" max="16144" width="27.5703125" customWidth="1"/>
    <col min="16146" max="16146" width="13" customWidth="1"/>
    <col min="16147" max="16147" width="15.42578125" customWidth="1"/>
    <col min="16149" max="16149" width="12.5703125" customWidth="1"/>
    <col min="16150" max="16150" width="13.28515625" customWidth="1"/>
    <col min="16160" max="16160" width="12.5703125" customWidth="1"/>
    <col min="16165" max="16165" width="13.140625" customWidth="1"/>
    <col min="16166" max="16166" width="14.28515625" customWidth="1"/>
    <col min="16167" max="16169" width="15" customWidth="1"/>
    <col min="16172" max="16172" width="51" customWidth="1"/>
    <col min="16177" max="16177" width="52.140625" customWidth="1"/>
    <col min="16180" max="16180" width="13.5703125" customWidth="1"/>
    <col min="16182" max="16188" width="12.7109375" customWidth="1"/>
    <col min="16189" max="16189" width="13.5703125" customWidth="1"/>
  </cols>
  <sheetData>
    <row r="1" spans="1:62" x14ac:dyDescent="0.25">
      <c r="A1" s="1" t="s">
        <v>0</v>
      </c>
      <c r="B1" t="s">
        <v>1</v>
      </c>
      <c r="C1" s="9" t="s">
        <v>215</v>
      </c>
      <c r="D1" t="s">
        <v>2</v>
      </c>
      <c r="E1" s="1" t="s">
        <v>3</v>
      </c>
      <c r="F1" s="2" t="s">
        <v>4</v>
      </c>
      <c r="G1" s="21" t="s">
        <v>5</v>
      </c>
      <c r="H1" s="21" t="s">
        <v>6</v>
      </c>
      <c r="I1" s="1" t="s">
        <v>7</v>
      </c>
      <c r="J1" s="1" t="s">
        <v>8</v>
      </c>
      <c r="K1" t="s">
        <v>9</v>
      </c>
      <c r="L1" s="1" t="s">
        <v>10</v>
      </c>
      <c r="M1" s="21" t="s">
        <v>11</v>
      </c>
      <c r="N1" s="1" t="s">
        <v>12</v>
      </c>
      <c r="O1" t="s">
        <v>13</v>
      </c>
      <c r="P1" t="s">
        <v>14</v>
      </c>
      <c r="Q1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t="s">
        <v>22</v>
      </c>
      <c r="Y1" s="5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s="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s="1" t="s">
        <v>42</v>
      </c>
      <c r="AS1" s="3" t="s">
        <v>43</v>
      </c>
      <c r="AT1" s="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s="1" t="s">
        <v>50</v>
      </c>
      <c r="BA1" s="1" t="s">
        <v>51</v>
      </c>
      <c r="BB1" s="6" t="s">
        <v>52</v>
      </c>
      <c r="BC1" t="s">
        <v>53</v>
      </c>
      <c r="BD1" t="s">
        <v>54</v>
      </c>
      <c r="BE1" s="7" t="s">
        <v>55</v>
      </c>
      <c r="BF1" s="8" t="s">
        <v>56</v>
      </c>
      <c r="BG1" s="8" t="s">
        <v>57</v>
      </c>
      <c r="BH1" s="8" t="s">
        <v>58</v>
      </c>
      <c r="BI1" s="1" t="s">
        <v>59</v>
      </c>
      <c r="BJ1" t="s">
        <v>60</v>
      </c>
    </row>
    <row r="2" spans="1:62" s="10" customFormat="1" x14ac:dyDescent="0.25">
      <c r="A2" s="9" t="s">
        <v>61</v>
      </c>
      <c r="B2" s="10" t="s">
        <v>62</v>
      </c>
      <c r="C2" s="9" t="s">
        <v>64</v>
      </c>
      <c r="D2" s="10" t="b">
        <v>1</v>
      </c>
      <c r="E2" s="9"/>
      <c r="F2" s="9" t="s">
        <v>63</v>
      </c>
      <c r="G2" s="22">
        <v>45387</v>
      </c>
      <c r="H2" s="22">
        <v>45387</v>
      </c>
      <c r="I2" s="9" t="s">
        <v>64</v>
      </c>
      <c r="J2" s="9" t="s">
        <v>65</v>
      </c>
      <c r="K2" s="10">
        <v>8057</v>
      </c>
      <c r="L2" s="12" t="s">
        <v>66</v>
      </c>
      <c r="M2" s="22">
        <v>45721</v>
      </c>
      <c r="N2" s="23" t="s">
        <v>67</v>
      </c>
      <c r="O2" s="10" t="s">
        <v>68</v>
      </c>
      <c r="P2" s="10" t="s">
        <v>69</v>
      </c>
      <c r="R2" s="10">
        <v>1000</v>
      </c>
      <c r="S2" s="10">
        <v>15</v>
      </c>
      <c r="T2" s="10">
        <f>ROUND(R2*S2/100,2)</f>
        <v>150</v>
      </c>
      <c r="AG2" s="12" t="s">
        <v>70</v>
      </c>
      <c r="AH2" s="10">
        <f>Q2+R2+U2+X2+Y2</f>
        <v>1000</v>
      </c>
      <c r="AI2" s="10">
        <v>2.75</v>
      </c>
      <c r="AJ2" s="10">
        <f>ROUND(AH2*AI2/100,2)</f>
        <v>27.5</v>
      </c>
      <c r="AP2" s="10" t="s">
        <v>65</v>
      </c>
      <c r="AQ2" s="10">
        <v>12327</v>
      </c>
      <c r="AR2" s="9" t="s">
        <v>71</v>
      </c>
      <c r="AS2" s="11">
        <v>45387</v>
      </c>
      <c r="AT2" s="9" t="s">
        <v>72</v>
      </c>
      <c r="AU2" s="10" t="s">
        <v>72</v>
      </c>
      <c r="AW2" s="10" t="s">
        <v>72</v>
      </c>
      <c r="AX2" s="10" t="s">
        <v>72</v>
      </c>
      <c r="AY2" s="10" t="s">
        <v>73</v>
      </c>
      <c r="AZ2" s="12" t="s">
        <v>64</v>
      </c>
      <c r="BA2" s="9"/>
      <c r="BI2" s="13" t="s">
        <v>74</v>
      </c>
    </row>
    <row r="3" spans="1:62" s="10" customFormat="1" x14ac:dyDescent="0.25">
      <c r="A3" s="9" t="s">
        <v>75</v>
      </c>
      <c r="B3" s="10" t="s">
        <v>76</v>
      </c>
      <c r="C3" s="9" t="s">
        <v>64</v>
      </c>
      <c r="D3" s="10" t="b">
        <v>0</v>
      </c>
      <c r="E3" s="9"/>
      <c r="F3" s="9"/>
      <c r="G3" s="22">
        <v>45389</v>
      </c>
      <c r="H3" s="22">
        <v>45389</v>
      </c>
      <c r="I3" s="9" t="s">
        <v>64</v>
      </c>
      <c r="J3" s="9" t="s">
        <v>65</v>
      </c>
      <c r="K3" s="10">
        <v>1284</v>
      </c>
      <c r="L3" s="9" t="s">
        <v>77</v>
      </c>
      <c r="M3" s="22">
        <v>45738</v>
      </c>
      <c r="N3" s="23" t="s">
        <v>67</v>
      </c>
      <c r="O3" s="10" t="s">
        <v>78</v>
      </c>
      <c r="P3" s="10" t="s">
        <v>79</v>
      </c>
      <c r="Q3" s="10">
        <v>980</v>
      </c>
      <c r="R3" s="10">
        <v>0</v>
      </c>
      <c r="S3" s="10">
        <v>15</v>
      </c>
      <c r="T3" s="10">
        <f>ROUND(R3*S3/100,2)</f>
        <v>0</v>
      </c>
      <c r="AG3" s="9" t="s">
        <v>80</v>
      </c>
      <c r="AH3" s="10">
        <f t="shared" ref="AH3:AH64" si="0">Q3+R3+U3+X3+Y3</f>
        <v>980</v>
      </c>
      <c r="AI3" s="10">
        <v>2</v>
      </c>
      <c r="AJ3" s="10">
        <v>19.600000000000001</v>
      </c>
      <c r="AP3" s="10" t="s">
        <v>65</v>
      </c>
      <c r="AQ3" s="10">
        <v>12328</v>
      </c>
      <c r="AR3" s="9" t="s">
        <v>71</v>
      </c>
      <c r="AS3" s="11">
        <v>45389</v>
      </c>
      <c r="AT3" s="9" t="s">
        <v>72</v>
      </c>
      <c r="AU3" s="10" t="s">
        <v>72</v>
      </c>
      <c r="AW3" s="10" t="s">
        <v>72</v>
      </c>
      <c r="AX3" s="10" t="s">
        <v>72</v>
      </c>
      <c r="AY3" s="10" t="s">
        <v>73</v>
      </c>
      <c r="AZ3" s="12" t="s">
        <v>64</v>
      </c>
      <c r="BA3" s="9"/>
      <c r="BI3" s="9" t="s">
        <v>74</v>
      </c>
    </row>
    <row r="4" spans="1:62" s="10" customFormat="1" x14ac:dyDescent="0.25">
      <c r="A4" s="9" t="s">
        <v>81</v>
      </c>
      <c r="B4" s="10" t="s">
        <v>82</v>
      </c>
      <c r="C4" s="9" t="s">
        <v>64</v>
      </c>
      <c r="D4" s="10" t="b">
        <v>0</v>
      </c>
      <c r="E4" s="9"/>
      <c r="F4" s="9"/>
      <c r="G4" s="22">
        <v>45392</v>
      </c>
      <c r="H4" s="22">
        <v>45392</v>
      </c>
      <c r="I4" s="9" t="s">
        <v>64</v>
      </c>
      <c r="J4" s="9" t="s">
        <v>83</v>
      </c>
      <c r="K4" s="10">
        <v>507</v>
      </c>
      <c r="L4" s="9" t="s">
        <v>84</v>
      </c>
      <c r="M4" s="22">
        <v>45607</v>
      </c>
      <c r="N4" s="9" t="s">
        <v>64</v>
      </c>
      <c r="O4" s="10" t="s">
        <v>68</v>
      </c>
      <c r="P4" s="10" t="s">
        <v>79</v>
      </c>
      <c r="Q4" s="10">
        <v>0</v>
      </c>
      <c r="R4" s="10">
        <v>15.09</v>
      </c>
      <c r="S4" s="10">
        <v>15</v>
      </c>
      <c r="T4" s="10">
        <f t="shared" ref="T4:T65" si="1">ROUND(R4*S4/100,2)</f>
        <v>2.2599999999999998</v>
      </c>
      <c r="AG4" s="12" t="s">
        <v>85</v>
      </c>
      <c r="AH4" s="10">
        <f t="shared" si="0"/>
        <v>15.09</v>
      </c>
      <c r="AI4" s="10">
        <v>0</v>
      </c>
      <c r="AJ4" s="10">
        <v>0</v>
      </c>
      <c r="AP4" s="10" t="s">
        <v>72</v>
      </c>
      <c r="AR4" s="9" t="s">
        <v>72</v>
      </c>
      <c r="AS4" s="11"/>
      <c r="AT4" s="9" t="s">
        <v>72</v>
      </c>
      <c r="AU4" s="10" t="s">
        <v>72</v>
      </c>
      <c r="AW4" s="10" t="s">
        <v>72</v>
      </c>
      <c r="AX4" s="10" t="s">
        <v>72</v>
      </c>
      <c r="AY4" s="10" t="s">
        <v>73</v>
      </c>
      <c r="AZ4" s="12" t="s">
        <v>64</v>
      </c>
      <c r="BA4" s="9"/>
      <c r="BI4" s="9"/>
    </row>
    <row r="5" spans="1:62" s="10" customFormat="1" x14ac:dyDescent="0.25">
      <c r="A5" s="9" t="s">
        <v>86</v>
      </c>
      <c r="B5" s="10" t="s">
        <v>87</v>
      </c>
      <c r="C5" s="9" t="s">
        <v>64</v>
      </c>
      <c r="D5" s="10" t="b">
        <v>0</v>
      </c>
      <c r="E5" s="9"/>
      <c r="F5" s="9"/>
      <c r="G5" s="22">
        <v>45393</v>
      </c>
      <c r="H5" s="22">
        <v>45393</v>
      </c>
      <c r="I5" s="9" t="s">
        <v>64</v>
      </c>
      <c r="J5" s="9" t="s">
        <v>88</v>
      </c>
      <c r="K5" s="10">
        <v>3072</v>
      </c>
      <c r="L5" s="9" t="s">
        <v>89</v>
      </c>
      <c r="M5" s="22">
        <v>45529</v>
      </c>
      <c r="N5" s="9" t="s">
        <v>64</v>
      </c>
      <c r="O5" s="10" t="s">
        <v>68</v>
      </c>
      <c r="P5" s="14" t="s">
        <v>90</v>
      </c>
      <c r="Q5" s="10">
        <v>0</v>
      </c>
      <c r="R5" s="10">
        <v>1031.32</v>
      </c>
      <c r="S5" s="10">
        <v>15</v>
      </c>
      <c r="T5" s="10">
        <f t="shared" si="1"/>
        <v>154.69999999999999</v>
      </c>
      <c r="AG5" s="9" t="s">
        <v>91</v>
      </c>
      <c r="AH5" s="10">
        <f t="shared" si="0"/>
        <v>1031.32</v>
      </c>
      <c r="AI5" s="10">
        <v>1</v>
      </c>
      <c r="AJ5" s="10">
        <v>10.31</v>
      </c>
      <c r="AP5" s="10" t="s">
        <v>65</v>
      </c>
      <c r="AQ5" s="10">
        <v>12331</v>
      </c>
      <c r="AR5" s="9" t="s">
        <v>71</v>
      </c>
      <c r="AS5" s="11">
        <v>45393</v>
      </c>
      <c r="AT5" s="9" t="s">
        <v>72</v>
      </c>
      <c r="AU5" s="10" t="s">
        <v>72</v>
      </c>
      <c r="AW5" s="10" t="s">
        <v>72</v>
      </c>
      <c r="AX5" s="10" t="s">
        <v>72</v>
      </c>
      <c r="AY5" s="10" t="s">
        <v>73</v>
      </c>
      <c r="AZ5" s="12" t="s">
        <v>64</v>
      </c>
      <c r="BA5" s="9"/>
      <c r="BI5" s="13" t="s">
        <v>74</v>
      </c>
    </row>
    <row r="6" spans="1:62" s="10" customFormat="1" x14ac:dyDescent="0.25">
      <c r="A6" s="9" t="s">
        <v>92</v>
      </c>
      <c r="B6" s="10" t="s">
        <v>93</v>
      </c>
      <c r="C6" s="9" t="s">
        <v>64</v>
      </c>
      <c r="D6" s="10" t="b">
        <v>0</v>
      </c>
      <c r="E6" s="9"/>
      <c r="F6" s="9"/>
      <c r="G6" s="22">
        <v>45399</v>
      </c>
      <c r="H6" s="22">
        <v>45399</v>
      </c>
      <c r="I6" s="9" t="s">
        <v>64</v>
      </c>
      <c r="J6" s="9" t="s">
        <v>65</v>
      </c>
      <c r="K6" s="10">
        <v>127</v>
      </c>
      <c r="L6" s="9" t="s">
        <v>94</v>
      </c>
      <c r="M6" s="22">
        <v>45577</v>
      </c>
      <c r="N6" s="9" t="s">
        <v>64</v>
      </c>
      <c r="O6" s="10" t="s">
        <v>68</v>
      </c>
      <c r="P6" s="10" t="s">
        <v>95</v>
      </c>
      <c r="Q6" s="10">
        <v>0</v>
      </c>
      <c r="R6" s="10">
        <v>37062.82</v>
      </c>
      <c r="S6" s="10">
        <v>15</v>
      </c>
      <c r="T6" s="10">
        <f t="shared" si="1"/>
        <v>5559.42</v>
      </c>
      <c r="AC6" s="10">
        <v>1334.26</v>
      </c>
      <c r="AG6" s="12" t="s">
        <v>96</v>
      </c>
      <c r="AH6" s="10">
        <f t="shared" si="0"/>
        <v>37062.82</v>
      </c>
      <c r="AI6" s="10">
        <v>1.75</v>
      </c>
      <c r="AJ6" s="10">
        <f>ROUND(AH6*AI6/100,2)</f>
        <v>648.6</v>
      </c>
      <c r="AP6" s="10" t="s">
        <v>65</v>
      </c>
      <c r="AQ6" s="10">
        <v>12329</v>
      </c>
      <c r="AR6" s="9" t="s">
        <v>71</v>
      </c>
      <c r="AS6" s="11">
        <v>45399</v>
      </c>
      <c r="AT6" s="9" t="s">
        <v>72</v>
      </c>
      <c r="AU6" s="10" t="s">
        <v>72</v>
      </c>
      <c r="AW6" s="10" t="s">
        <v>72</v>
      </c>
      <c r="AX6" s="10" t="s">
        <v>72</v>
      </c>
      <c r="AY6" s="10" t="s">
        <v>73</v>
      </c>
      <c r="AZ6" s="12" t="s">
        <v>64</v>
      </c>
      <c r="BA6" s="9"/>
      <c r="BI6" s="13" t="s">
        <v>74</v>
      </c>
    </row>
    <row r="7" spans="1:62" s="10" customFormat="1" x14ac:dyDescent="0.25">
      <c r="A7" s="9" t="s">
        <v>97</v>
      </c>
      <c r="B7" s="10" t="s">
        <v>98</v>
      </c>
      <c r="C7" s="9" t="s">
        <v>64</v>
      </c>
      <c r="D7" s="10" t="b">
        <v>0</v>
      </c>
      <c r="E7" s="9"/>
      <c r="F7" s="9"/>
      <c r="G7" s="22">
        <v>45399</v>
      </c>
      <c r="H7" s="22">
        <v>45399</v>
      </c>
      <c r="I7" s="9" t="s">
        <v>64</v>
      </c>
      <c r="J7" s="9" t="s">
        <v>65</v>
      </c>
      <c r="K7" s="10">
        <v>1683</v>
      </c>
      <c r="L7" s="9" t="s">
        <v>99</v>
      </c>
      <c r="M7" s="22">
        <v>45741</v>
      </c>
      <c r="N7" s="9" t="s">
        <v>64</v>
      </c>
      <c r="O7" s="10" t="s">
        <v>78</v>
      </c>
      <c r="P7" s="14" t="s">
        <v>100</v>
      </c>
      <c r="Q7" s="10">
        <v>500</v>
      </c>
      <c r="R7" s="10">
        <v>0</v>
      </c>
      <c r="S7" s="10">
        <v>15</v>
      </c>
      <c r="T7" s="10">
        <f t="shared" si="1"/>
        <v>0</v>
      </c>
      <c r="AG7" s="9" t="s">
        <v>80</v>
      </c>
      <c r="AH7" s="10">
        <v>300</v>
      </c>
      <c r="AI7" s="10">
        <v>2</v>
      </c>
      <c r="AJ7" s="10">
        <f>ROUND(AH7*AI7/100,2)</f>
        <v>6</v>
      </c>
      <c r="AP7" s="10" t="s">
        <v>65</v>
      </c>
      <c r="AQ7" s="10">
        <v>12333</v>
      </c>
      <c r="AR7" s="9" t="s">
        <v>71</v>
      </c>
      <c r="AS7" s="11">
        <v>45399</v>
      </c>
      <c r="AT7" s="9" t="s">
        <v>72</v>
      </c>
      <c r="AU7" s="10" t="s">
        <v>72</v>
      </c>
      <c r="AW7" s="10" t="s">
        <v>72</v>
      </c>
      <c r="AX7" s="10" t="s">
        <v>72</v>
      </c>
      <c r="AY7" s="10" t="s">
        <v>73</v>
      </c>
      <c r="AZ7" s="12" t="s">
        <v>64</v>
      </c>
      <c r="BA7" s="9"/>
      <c r="BI7" s="9"/>
    </row>
    <row r="8" spans="1:62" x14ac:dyDescent="0.25">
      <c r="A8" s="1" t="s">
        <v>101</v>
      </c>
      <c r="B8" t="s">
        <v>102</v>
      </c>
      <c r="C8" s="9" t="s">
        <v>64</v>
      </c>
      <c r="D8" t="b">
        <v>0</v>
      </c>
      <c r="G8" s="21">
        <v>45399</v>
      </c>
      <c r="H8" s="21">
        <v>45399</v>
      </c>
      <c r="I8" s="1" t="s">
        <v>64</v>
      </c>
      <c r="J8" s="1" t="s">
        <v>65</v>
      </c>
      <c r="K8">
        <v>17978</v>
      </c>
      <c r="L8" s="1" t="s">
        <v>103</v>
      </c>
      <c r="M8" s="21">
        <v>45773</v>
      </c>
      <c r="N8" s="1" t="s">
        <v>64</v>
      </c>
      <c r="O8" t="s">
        <v>68</v>
      </c>
      <c r="P8" t="s">
        <v>104</v>
      </c>
      <c r="Q8">
        <v>0</v>
      </c>
      <c r="R8">
        <v>445.49</v>
      </c>
      <c r="S8">
        <v>15</v>
      </c>
      <c r="T8">
        <f t="shared" si="1"/>
        <v>66.819999999999993</v>
      </c>
      <c r="AC8">
        <v>16.04</v>
      </c>
      <c r="AG8" s="1" t="s">
        <v>96</v>
      </c>
      <c r="AH8">
        <f t="shared" si="0"/>
        <v>445.49</v>
      </c>
      <c r="AI8">
        <v>1.75</v>
      </c>
      <c r="AJ8">
        <f t="shared" ref="AJ8:AJ12" si="2">ROUND(AH8*AI8/100,2)</f>
        <v>7.8</v>
      </c>
      <c r="AP8" t="s">
        <v>65</v>
      </c>
      <c r="AQ8">
        <v>12345</v>
      </c>
      <c r="AR8" s="1" t="s">
        <v>71</v>
      </c>
      <c r="AS8" s="3">
        <v>45399</v>
      </c>
      <c r="AT8" s="1" t="s">
        <v>72</v>
      </c>
      <c r="AU8" t="s">
        <v>72</v>
      </c>
      <c r="AW8" t="s">
        <v>72</v>
      </c>
      <c r="AX8" t="s">
        <v>72</v>
      </c>
      <c r="AY8" t="s">
        <v>73</v>
      </c>
      <c r="AZ8" s="15" t="s">
        <v>64</v>
      </c>
      <c r="BI8" s="1" t="s">
        <v>74</v>
      </c>
    </row>
    <row r="9" spans="1:62" x14ac:dyDescent="0.25">
      <c r="A9" s="1" t="s">
        <v>101</v>
      </c>
      <c r="B9" t="s">
        <v>102</v>
      </c>
      <c r="C9" s="9" t="s">
        <v>64</v>
      </c>
      <c r="D9" t="b">
        <v>0</v>
      </c>
      <c r="G9" s="21">
        <v>45399</v>
      </c>
      <c r="H9" s="21">
        <v>45399</v>
      </c>
      <c r="I9" s="1" t="s">
        <v>64</v>
      </c>
      <c r="J9" s="1" t="s">
        <v>65</v>
      </c>
      <c r="K9">
        <v>17986</v>
      </c>
      <c r="L9" s="1" t="s">
        <v>103</v>
      </c>
      <c r="M9" s="21">
        <v>45773</v>
      </c>
      <c r="N9" s="1" t="s">
        <v>64</v>
      </c>
      <c r="O9" t="s">
        <v>68</v>
      </c>
      <c r="P9" t="s">
        <v>104</v>
      </c>
      <c r="Q9">
        <v>0</v>
      </c>
      <c r="R9">
        <v>3423.19</v>
      </c>
      <c r="S9">
        <v>15</v>
      </c>
      <c r="T9">
        <f t="shared" si="1"/>
        <v>513.48</v>
      </c>
      <c r="AC9">
        <v>123.23</v>
      </c>
      <c r="AG9" s="1" t="s">
        <v>96</v>
      </c>
      <c r="AH9">
        <f t="shared" si="0"/>
        <v>3423.19</v>
      </c>
      <c r="AI9">
        <v>1.75</v>
      </c>
      <c r="AJ9">
        <f t="shared" si="2"/>
        <v>59.91</v>
      </c>
      <c r="AP9" t="s">
        <v>65</v>
      </c>
      <c r="AQ9">
        <v>12346</v>
      </c>
      <c r="AR9" s="1" t="s">
        <v>71</v>
      </c>
      <c r="AS9" s="3">
        <v>45399</v>
      </c>
      <c r="AT9" s="1" t="s">
        <v>72</v>
      </c>
      <c r="AU9" t="s">
        <v>72</v>
      </c>
      <c r="AW9" t="s">
        <v>72</v>
      </c>
      <c r="AX9" t="s">
        <v>72</v>
      </c>
      <c r="AY9" t="s">
        <v>73</v>
      </c>
      <c r="AZ9" s="15" t="s">
        <v>64</v>
      </c>
      <c r="BI9" s="16" t="s">
        <v>74</v>
      </c>
    </row>
    <row r="10" spans="1:62" x14ac:dyDescent="0.25">
      <c r="A10" s="1" t="s">
        <v>101</v>
      </c>
      <c r="B10" t="s">
        <v>102</v>
      </c>
      <c r="C10" s="9" t="s">
        <v>64</v>
      </c>
      <c r="D10" t="b">
        <v>0</v>
      </c>
      <c r="G10" s="21">
        <v>45399</v>
      </c>
      <c r="H10" s="21">
        <v>45399</v>
      </c>
      <c r="I10" s="1" t="s">
        <v>64</v>
      </c>
      <c r="J10" s="1" t="s">
        <v>65</v>
      </c>
      <c r="K10">
        <v>17983</v>
      </c>
      <c r="L10" s="1" t="s">
        <v>103</v>
      </c>
      <c r="M10" s="21">
        <v>45773</v>
      </c>
      <c r="N10" s="1" t="s">
        <v>64</v>
      </c>
      <c r="O10" t="s">
        <v>68</v>
      </c>
      <c r="P10" t="s">
        <v>104</v>
      </c>
      <c r="Q10">
        <v>0</v>
      </c>
      <c r="R10">
        <v>1310.54</v>
      </c>
      <c r="S10">
        <v>15</v>
      </c>
      <c r="T10">
        <f t="shared" si="1"/>
        <v>196.58</v>
      </c>
      <c r="AC10">
        <v>47.18</v>
      </c>
      <c r="AG10" s="1" t="s">
        <v>96</v>
      </c>
      <c r="AH10">
        <f t="shared" si="0"/>
        <v>1310.54</v>
      </c>
      <c r="AI10">
        <v>1.75</v>
      </c>
      <c r="AJ10">
        <f t="shared" si="2"/>
        <v>22.93</v>
      </c>
      <c r="AP10" t="s">
        <v>65</v>
      </c>
      <c r="AQ10">
        <v>12347</v>
      </c>
      <c r="AR10" s="1" t="s">
        <v>71</v>
      </c>
      <c r="AS10" s="3">
        <v>45399</v>
      </c>
      <c r="AT10" s="1" t="s">
        <v>72</v>
      </c>
      <c r="AU10" t="s">
        <v>72</v>
      </c>
      <c r="AW10" t="s">
        <v>72</v>
      </c>
      <c r="AX10" t="s">
        <v>72</v>
      </c>
      <c r="AY10" t="s">
        <v>73</v>
      </c>
      <c r="AZ10" s="15" t="s">
        <v>64</v>
      </c>
      <c r="BI10" s="16" t="s">
        <v>74</v>
      </c>
    </row>
    <row r="11" spans="1:62" x14ac:dyDescent="0.25">
      <c r="A11" s="1" t="s">
        <v>101</v>
      </c>
      <c r="B11" t="s">
        <v>102</v>
      </c>
      <c r="C11" s="9" t="s">
        <v>64</v>
      </c>
      <c r="D11" t="b">
        <v>0</v>
      </c>
      <c r="G11" s="21">
        <v>45399</v>
      </c>
      <c r="H11" s="21">
        <v>45399</v>
      </c>
      <c r="I11" s="1" t="s">
        <v>64</v>
      </c>
      <c r="J11" s="1" t="s">
        <v>65</v>
      </c>
      <c r="K11">
        <v>17982</v>
      </c>
      <c r="L11" s="1" t="s">
        <v>103</v>
      </c>
      <c r="M11" s="21">
        <v>45773</v>
      </c>
      <c r="N11" s="1" t="s">
        <v>64</v>
      </c>
      <c r="O11" t="s">
        <v>68</v>
      </c>
      <c r="P11" t="s">
        <v>104</v>
      </c>
      <c r="Q11">
        <v>0</v>
      </c>
      <c r="R11">
        <v>710.44</v>
      </c>
      <c r="S11">
        <v>15</v>
      </c>
      <c r="T11">
        <f t="shared" si="1"/>
        <v>106.57</v>
      </c>
      <c r="AC11">
        <v>25.58</v>
      </c>
      <c r="AG11" s="1" t="s">
        <v>96</v>
      </c>
      <c r="AH11">
        <f t="shared" si="0"/>
        <v>710.44</v>
      </c>
      <c r="AI11">
        <v>1.75</v>
      </c>
      <c r="AJ11">
        <f t="shared" si="2"/>
        <v>12.43</v>
      </c>
      <c r="AP11" t="s">
        <v>65</v>
      </c>
      <c r="AQ11">
        <v>12348</v>
      </c>
      <c r="AR11" s="1" t="s">
        <v>71</v>
      </c>
      <c r="AS11" s="3">
        <v>45399</v>
      </c>
      <c r="AT11" s="1" t="s">
        <v>72</v>
      </c>
      <c r="AU11" t="s">
        <v>72</v>
      </c>
      <c r="AW11" t="s">
        <v>72</v>
      </c>
      <c r="AX11" t="s">
        <v>72</v>
      </c>
      <c r="AY11" t="s">
        <v>73</v>
      </c>
      <c r="AZ11" s="15" t="s">
        <v>64</v>
      </c>
      <c r="BI11" s="1" t="s">
        <v>74</v>
      </c>
    </row>
    <row r="12" spans="1:62" x14ac:dyDescent="0.25">
      <c r="A12" s="1" t="s">
        <v>105</v>
      </c>
      <c r="B12" t="s">
        <v>98</v>
      </c>
      <c r="C12" s="9" t="s">
        <v>64</v>
      </c>
      <c r="D12" t="b">
        <v>0</v>
      </c>
      <c r="G12" s="21">
        <v>45399</v>
      </c>
      <c r="H12" s="21">
        <v>45399</v>
      </c>
      <c r="I12" s="1" t="s">
        <v>64</v>
      </c>
      <c r="J12" s="1" t="s">
        <v>65</v>
      </c>
      <c r="K12">
        <v>1681</v>
      </c>
      <c r="L12" s="15" t="s">
        <v>106</v>
      </c>
      <c r="N12" s="1" t="s">
        <v>64</v>
      </c>
      <c r="O12" t="s">
        <v>68</v>
      </c>
      <c r="P12" s="14" t="s">
        <v>107</v>
      </c>
      <c r="Q12">
        <v>0</v>
      </c>
      <c r="R12">
        <v>251.7</v>
      </c>
      <c r="S12">
        <v>15</v>
      </c>
      <c r="T12">
        <f t="shared" si="1"/>
        <v>37.76</v>
      </c>
      <c r="AC12">
        <v>9.06</v>
      </c>
      <c r="AG12" s="1" t="s">
        <v>96</v>
      </c>
      <c r="AH12">
        <f t="shared" si="0"/>
        <v>251.7</v>
      </c>
      <c r="AI12">
        <v>1.75</v>
      </c>
      <c r="AJ12">
        <f t="shared" si="2"/>
        <v>4.4000000000000004</v>
      </c>
      <c r="AP12" t="s">
        <v>65</v>
      </c>
      <c r="AQ12">
        <v>12349</v>
      </c>
      <c r="AR12" s="1" t="s">
        <v>71</v>
      </c>
      <c r="AS12" s="3">
        <v>45399</v>
      </c>
      <c r="AT12" s="1" t="s">
        <v>72</v>
      </c>
      <c r="AU12" t="s">
        <v>72</v>
      </c>
      <c r="AW12" t="s">
        <v>72</v>
      </c>
      <c r="AX12" t="s">
        <v>72</v>
      </c>
      <c r="AY12" t="s">
        <v>73</v>
      </c>
      <c r="AZ12" s="15" t="s">
        <v>64</v>
      </c>
    </row>
    <row r="13" spans="1:62" x14ac:dyDescent="0.25">
      <c r="A13" s="1" t="s">
        <v>108</v>
      </c>
      <c r="B13" t="s">
        <v>109</v>
      </c>
      <c r="C13" s="9" t="s">
        <v>64</v>
      </c>
      <c r="D13" t="b">
        <v>0</v>
      </c>
      <c r="G13" s="21">
        <v>45400</v>
      </c>
      <c r="H13" s="21">
        <v>45400</v>
      </c>
      <c r="I13" s="1" t="s">
        <v>64</v>
      </c>
      <c r="J13" s="1" t="s">
        <v>65</v>
      </c>
      <c r="K13">
        <v>505</v>
      </c>
      <c r="L13" s="1" t="s">
        <v>110</v>
      </c>
      <c r="M13" s="21">
        <v>45659</v>
      </c>
      <c r="N13" s="1" t="s">
        <v>64</v>
      </c>
      <c r="O13" t="s">
        <v>68</v>
      </c>
      <c r="P13" t="s">
        <v>79</v>
      </c>
      <c r="Q13">
        <v>0</v>
      </c>
      <c r="R13">
        <v>15</v>
      </c>
      <c r="S13">
        <v>15</v>
      </c>
      <c r="T13">
        <f t="shared" si="1"/>
        <v>2.25</v>
      </c>
      <c r="AE13">
        <v>1.26</v>
      </c>
      <c r="AG13" s="1" t="s">
        <v>80</v>
      </c>
      <c r="AH13">
        <f t="shared" si="0"/>
        <v>15</v>
      </c>
      <c r="AI13">
        <v>2</v>
      </c>
      <c r="AJ13">
        <v>0.3</v>
      </c>
      <c r="AP13" t="s">
        <v>65</v>
      </c>
      <c r="AQ13">
        <v>12341</v>
      </c>
      <c r="AR13" s="1" t="s">
        <v>71</v>
      </c>
      <c r="AS13" s="3">
        <v>45400</v>
      </c>
      <c r="AT13" s="1" t="s">
        <v>72</v>
      </c>
      <c r="AU13" t="s">
        <v>72</v>
      </c>
      <c r="AW13" t="s">
        <v>72</v>
      </c>
      <c r="AX13" t="s">
        <v>72</v>
      </c>
      <c r="AY13" t="s">
        <v>73</v>
      </c>
      <c r="AZ13" s="15" t="s">
        <v>64</v>
      </c>
    </row>
    <row r="14" spans="1:62" x14ac:dyDescent="0.25">
      <c r="A14" s="1" t="s">
        <v>108</v>
      </c>
      <c r="B14" t="s">
        <v>109</v>
      </c>
      <c r="C14" s="9" t="s">
        <v>64</v>
      </c>
      <c r="D14" t="b">
        <v>0</v>
      </c>
      <c r="G14" s="21">
        <v>45400</v>
      </c>
      <c r="H14" s="21">
        <v>45400</v>
      </c>
      <c r="I14" s="1" t="s">
        <v>64</v>
      </c>
      <c r="J14" s="1" t="s">
        <v>65</v>
      </c>
      <c r="K14">
        <v>504</v>
      </c>
      <c r="L14" s="1" t="s">
        <v>110</v>
      </c>
      <c r="M14" s="21">
        <v>45659</v>
      </c>
      <c r="N14" s="1" t="s">
        <v>64</v>
      </c>
      <c r="O14" t="s">
        <v>68</v>
      </c>
      <c r="P14" t="s">
        <v>79</v>
      </c>
      <c r="Q14">
        <v>0</v>
      </c>
      <c r="R14">
        <v>140</v>
      </c>
      <c r="S14">
        <v>15</v>
      </c>
      <c r="T14">
        <f t="shared" si="1"/>
        <v>21</v>
      </c>
      <c r="AE14">
        <v>11.76</v>
      </c>
      <c r="AG14" s="1" t="s">
        <v>80</v>
      </c>
      <c r="AH14">
        <f t="shared" si="0"/>
        <v>140</v>
      </c>
      <c r="AI14">
        <v>2</v>
      </c>
      <c r="AJ14">
        <v>2.8</v>
      </c>
      <c r="AP14" t="s">
        <v>65</v>
      </c>
      <c r="AQ14">
        <v>12342</v>
      </c>
      <c r="AR14" s="1" t="s">
        <v>71</v>
      </c>
      <c r="AS14" s="3">
        <v>45400</v>
      </c>
      <c r="AT14" s="1" t="s">
        <v>72</v>
      </c>
      <c r="AU14" t="s">
        <v>72</v>
      </c>
      <c r="AW14" t="s">
        <v>72</v>
      </c>
      <c r="AX14" t="s">
        <v>72</v>
      </c>
      <c r="AY14" t="s">
        <v>73</v>
      </c>
      <c r="AZ14" s="15" t="s">
        <v>64</v>
      </c>
    </row>
    <row r="15" spans="1:62" x14ac:dyDescent="0.25">
      <c r="A15" s="1" t="s">
        <v>101</v>
      </c>
      <c r="B15" t="s">
        <v>102</v>
      </c>
      <c r="C15" s="9" t="s">
        <v>64</v>
      </c>
      <c r="D15" t="b">
        <v>0</v>
      </c>
      <c r="G15" s="21">
        <v>45400</v>
      </c>
      <c r="H15" s="21">
        <v>45400</v>
      </c>
      <c r="I15" s="1" t="s">
        <v>64</v>
      </c>
      <c r="J15" s="1" t="s">
        <v>65</v>
      </c>
      <c r="K15">
        <v>18028</v>
      </c>
      <c r="L15" s="1" t="s">
        <v>103</v>
      </c>
      <c r="M15" s="21">
        <v>45773</v>
      </c>
      <c r="N15" s="1" t="s">
        <v>64</v>
      </c>
      <c r="O15" t="s">
        <v>68</v>
      </c>
      <c r="P15" t="s">
        <v>104</v>
      </c>
      <c r="Q15">
        <v>0</v>
      </c>
      <c r="R15">
        <v>664.83</v>
      </c>
      <c r="S15">
        <v>15</v>
      </c>
      <c r="T15">
        <f t="shared" si="1"/>
        <v>99.72</v>
      </c>
      <c r="AC15">
        <v>23.93</v>
      </c>
      <c r="AG15" s="1" t="s">
        <v>96</v>
      </c>
      <c r="AH15">
        <f t="shared" si="0"/>
        <v>664.83</v>
      </c>
      <c r="AI15">
        <v>1.75</v>
      </c>
      <c r="AJ15">
        <f>ROUND(AH15*AI15/100,2)</f>
        <v>11.63</v>
      </c>
      <c r="AP15" t="s">
        <v>65</v>
      </c>
      <c r="AQ15">
        <v>12368</v>
      </c>
      <c r="AR15" s="1" t="s">
        <v>71</v>
      </c>
      <c r="AS15" s="3">
        <v>45400</v>
      </c>
      <c r="AT15" s="1" t="s">
        <v>72</v>
      </c>
      <c r="AU15" t="s">
        <v>72</v>
      </c>
      <c r="AW15" t="s">
        <v>72</v>
      </c>
      <c r="AX15" t="s">
        <v>72</v>
      </c>
      <c r="AY15" t="s">
        <v>73</v>
      </c>
      <c r="AZ15" s="15" t="s">
        <v>64</v>
      </c>
      <c r="BI15" s="1" t="s">
        <v>74</v>
      </c>
    </row>
    <row r="16" spans="1:62" x14ac:dyDescent="0.25">
      <c r="A16" s="1" t="s">
        <v>101</v>
      </c>
      <c r="B16" t="s">
        <v>102</v>
      </c>
      <c r="C16" s="9" t="s">
        <v>64</v>
      </c>
      <c r="D16" t="b">
        <v>0</v>
      </c>
      <c r="G16" s="21">
        <v>45400</v>
      </c>
      <c r="H16" s="21">
        <v>45400</v>
      </c>
      <c r="I16" s="1" t="s">
        <v>64</v>
      </c>
      <c r="J16" s="1" t="s">
        <v>65</v>
      </c>
      <c r="K16">
        <v>18029</v>
      </c>
      <c r="L16" s="1" t="s">
        <v>103</v>
      </c>
      <c r="M16" s="21">
        <v>45773</v>
      </c>
      <c r="N16" s="1" t="s">
        <v>64</v>
      </c>
      <c r="O16" t="s">
        <v>68</v>
      </c>
      <c r="P16" t="s">
        <v>104</v>
      </c>
      <c r="Q16">
        <v>0</v>
      </c>
      <c r="R16">
        <v>24.55</v>
      </c>
      <c r="S16">
        <v>15</v>
      </c>
      <c r="T16">
        <f t="shared" si="1"/>
        <v>3.68</v>
      </c>
      <c r="AC16">
        <v>0.89</v>
      </c>
      <c r="AG16" s="1" t="s">
        <v>96</v>
      </c>
      <c r="AH16">
        <f t="shared" si="0"/>
        <v>24.55</v>
      </c>
      <c r="AI16">
        <v>1.75</v>
      </c>
      <c r="AJ16">
        <f>ROUND(AH16*AI16/100,2)</f>
        <v>0.43</v>
      </c>
      <c r="AP16" t="s">
        <v>65</v>
      </c>
      <c r="AQ16">
        <v>12369</v>
      </c>
      <c r="AR16" s="1" t="s">
        <v>71</v>
      </c>
      <c r="AS16" s="3">
        <v>45400</v>
      </c>
      <c r="AT16" s="1" t="s">
        <v>72</v>
      </c>
      <c r="AU16" t="s">
        <v>72</v>
      </c>
      <c r="AW16" t="s">
        <v>72</v>
      </c>
      <c r="AX16" t="s">
        <v>72</v>
      </c>
      <c r="AY16" t="s">
        <v>73</v>
      </c>
      <c r="AZ16" s="15" t="s">
        <v>64</v>
      </c>
    </row>
    <row r="17" spans="1:61" x14ac:dyDescent="0.25">
      <c r="A17" s="1" t="s">
        <v>108</v>
      </c>
      <c r="B17" t="s">
        <v>109</v>
      </c>
      <c r="C17" s="9" t="s">
        <v>64</v>
      </c>
      <c r="D17" t="b">
        <v>0</v>
      </c>
      <c r="G17" s="21">
        <v>45401</v>
      </c>
      <c r="H17" s="21">
        <v>45401</v>
      </c>
      <c r="I17" s="1" t="s">
        <v>64</v>
      </c>
      <c r="J17" s="1" t="s">
        <v>65</v>
      </c>
      <c r="K17">
        <v>512</v>
      </c>
      <c r="L17" s="1" t="s">
        <v>110</v>
      </c>
      <c r="M17" s="21">
        <v>45659</v>
      </c>
      <c r="N17" s="1" t="s">
        <v>64</v>
      </c>
      <c r="O17" t="s">
        <v>68</v>
      </c>
      <c r="P17" t="s">
        <v>104</v>
      </c>
      <c r="Q17">
        <v>0</v>
      </c>
      <c r="R17">
        <v>96</v>
      </c>
      <c r="S17">
        <v>15</v>
      </c>
      <c r="T17">
        <f t="shared" si="1"/>
        <v>14.4</v>
      </c>
      <c r="AC17">
        <v>3.46</v>
      </c>
      <c r="AG17" s="1" t="s">
        <v>96</v>
      </c>
      <c r="AH17">
        <f t="shared" si="0"/>
        <v>96</v>
      </c>
      <c r="AI17">
        <v>1.75</v>
      </c>
      <c r="AJ17">
        <f>ROUND(AH17*AI17/100,2)</f>
        <v>1.68</v>
      </c>
      <c r="AP17" t="s">
        <v>65</v>
      </c>
      <c r="AQ17">
        <v>12337</v>
      </c>
      <c r="AR17" s="1" t="s">
        <v>71</v>
      </c>
      <c r="AS17" s="3">
        <v>45401</v>
      </c>
      <c r="AT17" s="1" t="s">
        <v>72</v>
      </c>
      <c r="AU17" t="s">
        <v>72</v>
      </c>
      <c r="AW17" t="s">
        <v>72</v>
      </c>
      <c r="AX17" t="s">
        <v>72</v>
      </c>
      <c r="AY17" t="s">
        <v>73</v>
      </c>
      <c r="AZ17" s="15" t="s">
        <v>64</v>
      </c>
    </row>
    <row r="18" spans="1:61" x14ac:dyDescent="0.25">
      <c r="A18" s="1" t="s">
        <v>108</v>
      </c>
      <c r="B18" t="s">
        <v>109</v>
      </c>
      <c r="C18" s="9" t="s">
        <v>64</v>
      </c>
      <c r="D18" t="b">
        <v>0</v>
      </c>
      <c r="G18" s="21">
        <v>45401</v>
      </c>
      <c r="H18" s="21">
        <v>45401</v>
      </c>
      <c r="I18" s="1" t="s">
        <v>64</v>
      </c>
      <c r="J18" s="1" t="s">
        <v>65</v>
      </c>
      <c r="K18">
        <v>514</v>
      </c>
      <c r="L18" s="1" t="s">
        <v>110</v>
      </c>
      <c r="M18" s="21">
        <v>45659</v>
      </c>
      <c r="N18" s="1" t="s">
        <v>64</v>
      </c>
      <c r="O18" t="s">
        <v>68</v>
      </c>
      <c r="P18" t="s">
        <v>104</v>
      </c>
      <c r="Q18">
        <v>0</v>
      </c>
      <c r="R18">
        <v>170.64</v>
      </c>
      <c r="S18">
        <v>15</v>
      </c>
      <c r="T18">
        <f t="shared" si="1"/>
        <v>25.6</v>
      </c>
      <c r="AC18">
        <v>6.14</v>
      </c>
      <c r="AG18" s="1" t="s">
        <v>96</v>
      </c>
      <c r="AH18">
        <f t="shared" si="0"/>
        <v>170.64</v>
      </c>
      <c r="AI18">
        <v>1.75</v>
      </c>
      <c r="AJ18">
        <f>ROUND(AH18*AI18/100,2)</f>
        <v>2.99</v>
      </c>
      <c r="AP18" t="s">
        <v>65</v>
      </c>
      <c r="AQ18">
        <v>12338</v>
      </c>
      <c r="AR18" s="1" t="s">
        <v>71</v>
      </c>
      <c r="AS18" s="3">
        <v>45401</v>
      </c>
      <c r="AT18" s="1" t="s">
        <v>72</v>
      </c>
      <c r="AU18" t="s">
        <v>72</v>
      </c>
      <c r="AW18" t="s">
        <v>72</v>
      </c>
      <c r="AX18" t="s">
        <v>72</v>
      </c>
      <c r="AY18" t="s">
        <v>73</v>
      </c>
      <c r="AZ18" s="15" t="s">
        <v>64</v>
      </c>
    </row>
    <row r="19" spans="1:61" x14ac:dyDescent="0.25">
      <c r="A19" s="1" t="s">
        <v>108</v>
      </c>
      <c r="B19" t="s">
        <v>109</v>
      </c>
      <c r="C19" s="9" t="s">
        <v>64</v>
      </c>
      <c r="D19" t="b">
        <v>0</v>
      </c>
      <c r="G19" s="21">
        <v>45401</v>
      </c>
      <c r="H19" s="21">
        <v>45401</v>
      </c>
      <c r="I19" s="1" t="s">
        <v>64</v>
      </c>
      <c r="J19" s="1" t="s">
        <v>65</v>
      </c>
      <c r="K19">
        <v>511</v>
      </c>
      <c r="L19" s="1" t="s">
        <v>110</v>
      </c>
      <c r="M19" s="21">
        <v>45659</v>
      </c>
      <c r="N19" s="1" t="s">
        <v>64</v>
      </c>
      <c r="O19" t="s">
        <v>68</v>
      </c>
      <c r="P19" t="s">
        <v>79</v>
      </c>
      <c r="Q19">
        <v>0</v>
      </c>
      <c r="R19">
        <v>160</v>
      </c>
      <c r="S19">
        <v>15</v>
      </c>
      <c r="T19">
        <f t="shared" si="1"/>
        <v>24</v>
      </c>
      <c r="AE19">
        <v>13.44</v>
      </c>
      <c r="AG19" s="1" t="s">
        <v>80</v>
      </c>
      <c r="AH19">
        <f t="shared" si="0"/>
        <v>160</v>
      </c>
      <c r="AI19">
        <v>2</v>
      </c>
      <c r="AJ19">
        <v>3.2</v>
      </c>
      <c r="AP19" t="s">
        <v>65</v>
      </c>
      <c r="AQ19">
        <v>12339</v>
      </c>
      <c r="AR19" s="1" t="s">
        <v>71</v>
      </c>
      <c r="AS19" s="3">
        <v>45401</v>
      </c>
      <c r="AT19" s="1" t="s">
        <v>72</v>
      </c>
      <c r="AU19" t="s">
        <v>72</v>
      </c>
      <c r="AW19" t="s">
        <v>72</v>
      </c>
      <c r="AX19" t="s">
        <v>72</v>
      </c>
      <c r="AY19" t="s">
        <v>73</v>
      </c>
      <c r="AZ19" s="15" t="s">
        <v>64</v>
      </c>
    </row>
    <row r="20" spans="1:61" x14ac:dyDescent="0.25">
      <c r="A20" s="1" t="s">
        <v>108</v>
      </c>
      <c r="B20" t="s">
        <v>109</v>
      </c>
      <c r="C20" s="9" t="s">
        <v>64</v>
      </c>
      <c r="D20" t="b">
        <v>0</v>
      </c>
      <c r="G20" s="21">
        <v>45401</v>
      </c>
      <c r="H20" s="21">
        <v>45401</v>
      </c>
      <c r="I20" s="1" t="s">
        <v>64</v>
      </c>
      <c r="J20" s="1" t="s">
        <v>65</v>
      </c>
      <c r="K20">
        <v>509</v>
      </c>
      <c r="L20" s="1" t="s">
        <v>110</v>
      </c>
      <c r="M20" s="21">
        <v>45659</v>
      </c>
      <c r="N20" s="1" t="s">
        <v>64</v>
      </c>
      <c r="O20" t="s">
        <v>68</v>
      </c>
      <c r="P20" t="s">
        <v>79</v>
      </c>
      <c r="Q20">
        <v>0</v>
      </c>
      <c r="R20">
        <v>100</v>
      </c>
      <c r="S20">
        <v>15</v>
      </c>
      <c r="T20">
        <f t="shared" si="1"/>
        <v>15</v>
      </c>
      <c r="AE20">
        <v>8.4</v>
      </c>
      <c r="AG20" s="1" t="s">
        <v>80</v>
      </c>
      <c r="AH20">
        <f t="shared" si="0"/>
        <v>100</v>
      </c>
      <c r="AI20">
        <v>2</v>
      </c>
      <c r="AJ20">
        <v>2</v>
      </c>
      <c r="AP20" t="s">
        <v>65</v>
      </c>
      <c r="AQ20">
        <v>12340</v>
      </c>
      <c r="AR20" s="1" t="s">
        <v>71</v>
      </c>
      <c r="AS20" s="3">
        <v>45401</v>
      </c>
      <c r="AT20" s="1" t="s">
        <v>72</v>
      </c>
      <c r="AU20" t="s">
        <v>72</v>
      </c>
      <c r="AW20" t="s">
        <v>72</v>
      </c>
      <c r="AX20" t="s">
        <v>72</v>
      </c>
      <c r="AY20" t="s">
        <v>73</v>
      </c>
      <c r="AZ20" s="15" t="s">
        <v>64</v>
      </c>
    </row>
    <row r="21" spans="1:61" x14ac:dyDescent="0.25">
      <c r="A21" s="1" t="s">
        <v>108</v>
      </c>
      <c r="B21" t="s">
        <v>109</v>
      </c>
      <c r="C21" s="9" t="s">
        <v>64</v>
      </c>
      <c r="D21" t="b">
        <v>0</v>
      </c>
      <c r="G21" s="21">
        <v>45401</v>
      </c>
      <c r="H21" s="21">
        <v>45401</v>
      </c>
      <c r="I21" s="1" t="s">
        <v>64</v>
      </c>
      <c r="J21" s="1" t="s">
        <v>65</v>
      </c>
      <c r="K21">
        <v>510</v>
      </c>
      <c r="L21" s="1" t="s">
        <v>110</v>
      </c>
      <c r="M21" s="21">
        <v>45659</v>
      </c>
      <c r="N21" s="1" t="s">
        <v>64</v>
      </c>
      <c r="O21" t="s">
        <v>68</v>
      </c>
      <c r="P21" t="s">
        <v>79</v>
      </c>
      <c r="Q21">
        <v>0</v>
      </c>
      <c r="R21">
        <v>300</v>
      </c>
      <c r="S21">
        <v>15</v>
      </c>
      <c r="T21">
        <f t="shared" si="1"/>
        <v>45</v>
      </c>
      <c r="AE21">
        <v>25.2</v>
      </c>
      <c r="AG21" s="1" t="s">
        <v>80</v>
      </c>
      <c r="AH21">
        <f t="shared" si="0"/>
        <v>300</v>
      </c>
      <c r="AI21">
        <v>2</v>
      </c>
      <c r="AJ21">
        <v>6</v>
      </c>
      <c r="AP21" t="s">
        <v>65</v>
      </c>
      <c r="AQ21">
        <v>12343</v>
      </c>
      <c r="AR21" s="1" t="s">
        <v>71</v>
      </c>
      <c r="AS21" s="3">
        <v>45401</v>
      </c>
      <c r="AT21" s="1" t="s">
        <v>72</v>
      </c>
      <c r="AU21" t="s">
        <v>72</v>
      </c>
      <c r="AW21" t="s">
        <v>72</v>
      </c>
      <c r="AX21" t="s">
        <v>72</v>
      </c>
      <c r="AY21" t="s">
        <v>73</v>
      </c>
      <c r="AZ21" s="15" t="s">
        <v>64</v>
      </c>
    </row>
    <row r="22" spans="1:61" x14ac:dyDescent="0.25">
      <c r="A22" s="1" t="s">
        <v>108</v>
      </c>
      <c r="B22" t="s">
        <v>109</v>
      </c>
      <c r="C22" s="9" t="s">
        <v>64</v>
      </c>
      <c r="D22" t="b">
        <v>0</v>
      </c>
      <c r="G22" s="21">
        <v>45401</v>
      </c>
      <c r="H22" s="21">
        <v>45401</v>
      </c>
      <c r="I22" s="1" t="s">
        <v>64</v>
      </c>
      <c r="J22" s="1" t="s">
        <v>65</v>
      </c>
      <c r="K22">
        <v>516</v>
      </c>
      <c r="L22" s="1" t="s">
        <v>110</v>
      </c>
      <c r="M22" s="21">
        <v>45659</v>
      </c>
      <c r="N22" s="1" t="s">
        <v>64</v>
      </c>
      <c r="O22" t="s">
        <v>68</v>
      </c>
      <c r="P22" t="s">
        <v>69</v>
      </c>
      <c r="Q22">
        <v>0</v>
      </c>
      <c r="R22">
        <v>300</v>
      </c>
      <c r="S22">
        <v>15</v>
      </c>
      <c r="T22">
        <f t="shared" si="1"/>
        <v>45</v>
      </c>
      <c r="AE22">
        <v>25.2</v>
      </c>
      <c r="AG22" s="1" t="s">
        <v>80</v>
      </c>
      <c r="AH22">
        <f t="shared" si="0"/>
        <v>300</v>
      </c>
      <c r="AI22">
        <v>2</v>
      </c>
      <c r="AJ22">
        <v>6</v>
      </c>
      <c r="AP22" t="s">
        <v>65</v>
      </c>
      <c r="AQ22">
        <v>12344</v>
      </c>
      <c r="AR22" s="1" t="s">
        <v>71</v>
      </c>
      <c r="AS22" s="3">
        <v>45401</v>
      </c>
      <c r="AT22" s="1" t="s">
        <v>72</v>
      </c>
      <c r="AU22" t="s">
        <v>72</v>
      </c>
      <c r="AW22" t="s">
        <v>72</v>
      </c>
      <c r="AX22" t="s">
        <v>72</v>
      </c>
      <c r="AY22" t="s">
        <v>73</v>
      </c>
      <c r="AZ22" s="15" t="s">
        <v>64</v>
      </c>
    </row>
    <row r="23" spans="1:61" x14ac:dyDescent="0.25">
      <c r="A23" s="1" t="s">
        <v>101</v>
      </c>
      <c r="B23" t="s">
        <v>102</v>
      </c>
      <c r="C23" s="9" t="s">
        <v>64</v>
      </c>
      <c r="D23" t="b">
        <v>0</v>
      </c>
      <c r="G23" s="21">
        <v>45403</v>
      </c>
      <c r="H23" s="21">
        <v>45403</v>
      </c>
      <c r="I23" s="1" t="s">
        <v>64</v>
      </c>
      <c r="J23" s="1" t="s">
        <v>65</v>
      </c>
      <c r="K23">
        <v>18159</v>
      </c>
      <c r="L23" s="1" t="s">
        <v>103</v>
      </c>
      <c r="M23" s="21">
        <v>45773</v>
      </c>
      <c r="N23" s="1" t="s">
        <v>64</v>
      </c>
      <c r="O23" t="s">
        <v>68</v>
      </c>
      <c r="P23" t="s">
        <v>104</v>
      </c>
      <c r="Q23">
        <v>0</v>
      </c>
      <c r="R23">
        <v>178.12</v>
      </c>
      <c r="S23">
        <v>15</v>
      </c>
      <c r="T23">
        <f t="shared" si="1"/>
        <v>26.72</v>
      </c>
      <c r="AC23">
        <v>6.41</v>
      </c>
      <c r="AG23" s="1" t="s">
        <v>96</v>
      </c>
      <c r="AH23">
        <f t="shared" si="0"/>
        <v>178.12</v>
      </c>
      <c r="AI23">
        <v>1.75</v>
      </c>
      <c r="AJ23">
        <f>ROUND(AH23*AI23/100,2)</f>
        <v>3.12</v>
      </c>
      <c r="AP23" t="s">
        <v>65</v>
      </c>
      <c r="AQ23">
        <v>12350</v>
      </c>
      <c r="AR23" s="1" t="s">
        <v>71</v>
      </c>
      <c r="AS23" s="3">
        <v>45403</v>
      </c>
      <c r="AT23" s="1" t="s">
        <v>72</v>
      </c>
      <c r="AU23" t="s">
        <v>72</v>
      </c>
      <c r="AW23" t="s">
        <v>72</v>
      </c>
      <c r="AX23" t="s">
        <v>72</v>
      </c>
      <c r="AY23" t="s">
        <v>73</v>
      </c>
      <c r="AZ23" s="15" t="s">
        <v>64</v>
      </c>
    </row>
    <row r="24" spans="1:61" x14ac:dyDescent="0.25">
      <c r="A24" s="1" t="s">
        <v>111</v>
      </c>
      <c r="B24" t="s">
        <v>112</v>
      </c>
      <c r="C24" s="9" t="s">
        <v>64</v>
      </c>
      <c r="D24" t="b">
        <v>0</v>
      </c>
      <c r="G24" s="21">
        <v>45403</v>
      </c>
      <c r="H24" s="21">
        <v>45403</v>
      </c>
      <c r="I24" s="1" t="s">
        <v>64</v>
      </c>
      <c r="J24" s="1" t="s">
        <v>65</v>
      </c>
      <c r="K24">
        <v>164</v>
      </c>
      <c r="L24" s="1" t="s">
        <v>113</v>
      </c>
      <c r="M24" s="21">
        <v>45437</v>
      </c>
      <c r="N24" s="1" t="s">
        <v>64</v>
      </c>
      <c r="O24" t="s">
        <v>78</v>
      </c>
      <c r="P24" t="s">
        <v>79</v>
      </c>
      <c r="Q24">
        <v>40</v>
      </c>
      <c r="R24">
        <v>0</v>
      </c>
      <c r="S24">
        <v>15</v>
      </c>
      <c r="T24">
        <f t="shared" si="1"/>
        <v>0</v>
      </c>
      <c r="AG24" s="1" t="s">
        <v>96</v>
      </c>
      <c r="AH24">
        <f t="shared" si="0"/>
        <v>40</v>
      </c>
      <c r="AI24">
        <v>1.75</v>
      </c>
      <c r="AJ24">
        <f>ROUND(AH24*AI24/100,2)</f>
        <v>0.7</v>
      </c>
      <c r="AP24" t="s">
        <v>65</v>
      </c>
      <c r="AQ24">
        <v>12351</v>
      </c>
      <c r="AR24" s="1" t="s">
        <v>71</v>
      </c>
      <c r="AS24" s="3">
        <v>45403</v>
      </c>
      <c r="AT24" s="1" t="s">
        <v>72</v>
      </c>
      <c r="AU24" t="s">
        <v>72</v>
      </c>
      <c r="AW24" t="s">
        <v>72</v>
      </c>
      <c r="AX24" t="s">
        <v>72</v>
      </c>
      <c r="AY24" t="s">
        <v>73</v>
      </c>
      <c r="AZ24" s="15" t="s">
        <v>64</v>
      </c>
    </row>
    <row r="25" spans="1:61" x14ac:dyDescent="0.25">
      <c r="A25" s="1" t="s">
        <v>111</v>
      </c>
      <c r="B25" t="s">
        <v>112</v>
      </c>
      <c r="C25" s="9" t="s">
        <v>64</v>
      </c>
      <c r="D25" t="b">
        <v>0</v>
      </c>
      <c r="G25" s="21">
        <v>45403</v>
      </c>
      <c r="H25" s="21">
        <v>45403</v>
      </c>
      <c r="I25" s="1" t="s">
        <v>64</v>
      </c>
      <c r="J25" s="1" t="s">
        <v>65</v>
      </c>
      <c r="K25">
        <v>165</v>
      </c>
      <c r="L25" s="1" t="s">
        <v>113</v>
      </c>
      <c r="M25" s="21">
        <v>45437</v>
      </c>
      <c r="N25" s="1" t="s">
        <v>64</v>
      </c>
      <c r="O25" t="s">
        <v>78</v>
      </c>
      <c r="P25" t="s">
        <v>79</v>
      </c>
      <c r="Q25">
        <v>15</v>
      </c>
      <c r="R25">
        <v>0</v>
      </c>
      <c r="S25">
        <v>15</v>
      </c>
      <c r="T25">
        <f t="shared" si="1"/>
        <v>0</v>
      </c>
      <c r="AG25" s="1" t="s">
        <v>96</v>
      </c>
      <c r="AH25">
        <f t="shared" si="0"/>
        <v>15</v>
      </c>
      <c r="AI25">
        <v>1.75</v>
      </c>
      <c r="AJ25">
        <f>ROUND(AH25*AI25/100,2)</f>
        <v>0.26</v>
      </c>
      <c r="AP25" t="s">
        <v>65</v>
      </c>
      <c r="AQ25">
        <v>12352</v>
      </c>
      <c r="AR25" s="1" t="s">
        <v>71</v>
      </c>
      <c r="AS25" s="3">
        <v>45403</v>
      </c>
      <c r="AT25" s="1" t="s">
        <v>72</v>
      </c>
      <c r="AU25" t="s">
        <v>72</v>
      </c>
      <c r="AW25" t="s">
        <v>72</v>
      </c>
      <c r="AX25" t="s">
        <v>72</v>
      </c>
      <c r="AY25" t="s">
        <v>73</v>
      </c>
      <c r="AZ25" s="15" t="s">
        <v>64</v>
      </c>
    </row>
    <row r="26" spans="1:61" x14ac:dyDescent="0.25">
      <c r="A26" s="1" t="s">
        <v>114</v>
      </c>
      <c r="B26" t="s">
        <v>115</v>
      </c>
      <c r="C26" s="9" t="s">
        <v>64</v>
      </c>
      <c r="D26" t="b">
        <v>0</v>
      </c>
      <c r="G26" s="21">
        <v>45406</v>
      </c>
      <c r="H26" s="21">
        <v>45406</v>
      </c>
      <c r="I26" s="1" t="s">
        <v>64</v>
      </c>
      <c r="J26" s="1" t="s">
        <v>65</v>
      </c>
      <c r="K26">
        <v>887</v>
      </c>
      <c r="L26" s="1" t="s">
        <v>116</v>
      </c>
      <c r="M26" s="21">
        <v>45647</v>
      </c>
      <c r="N26" s="1" t="s">
        <v>64</v>
      </c>
      <c r="O26" t="s">
        <v>68</v>
      </c>
      <c r="P26" t="s">
        <v>79</v>
      </c>
      <c r="Q26">
        <v>0</v>
      </c>
      <c r="R26">
        <v>250</v>
      </c>
      <c r="S26">
        <v>15</v>
      </c>
      <c r="T26">
        <f t="shared" si="1"/>
        <v>37.5</v>
      </c>
      <c r="AE26">
        <v>21</v>
      </c>
      <c r="AG26" s="1" t="s">
        <v>80</v>
      </c>
      <c r="AH26">
        <f t="shared" si="0"/>
        <v>250</v>
      </c>
      <c r="AI26">
        <v>2</v>
      </c>
      <c r="AJ26">
        <v>5</v>
      </c>
      <c r="AP26" t="s">
        <v>65</v>
      </c>
      <c r="AQ26">
        <v>12353</v>
      </c>
      <c r="AR26" s="1" t="s">
        <v>71</v>
      </c>
      <c r="AS26" s="3">
        <v>45406</v>
      </c>
      <c r="AT26" s="1" t="s">
        <v>72</v>
      </c>
      <c r="AU26" t="s">
        <v>72</v>
      </c>
      <c r="AW26" t="s">
        <v>72</v>
      </c>
      <c r="AX26" t="s">
        <v>72</v>
      </c>
      <c r="AY26" t="s">
        <v>73</v>
      </c>
      <c r="AZ26" s="15" t="s">
        <v>64</v>
      </c>
    </row>
    <row r="27" spans="1:61" x14ac:dyDescent="0.25">
      <c r="A27" s="1" t="s">
        <v>117</v>
      </c>
      <c r="B27" t="s">
        <v>118</v>
      </c>
      <c r="C27" s="9" t="s">
        <v>64</v>
      </c>
      <c r="D27" t="b">
        <v>0</v>
      </c>
      <c r="G27" s="21">
        <v>45406</v>
      </c>
      <c r="H27" s="21">
        <v>45406</v>
      </c>
      <c r="I27" s="1" t="s">
        <v>64</v>
      </c>
      <c r="J27" s="1" t="s">
        <v>119</v>
      </c>
      <c r="K27">
        <v>2765</v>
      </c>
      <c r="L27" s="1" t="s">
        <v>120</v>
      </c>
      <c r="M27" s="21">
        <v>45647</v>
      </c>
      <c r="N27" s="1" t="s">
        <v>64</v>
      </c>
      <c r="O27" t="s">
        <v>68</v>
      </c>
      <c r="P27" t="s">
        <v>104</v>
      </c>
      <c r="Q27">
        <v>0</v>
      </c>
      <c r="R27">
        <v>297.5</v>
      </c>
      <c r="S27">
        <v>15</v>
      </c>
      <c r="T27">
        <f t="shared" si="1"/>
        <v>44.63</v>
      </c>
      <c r="AC27">
        <v>10.71</v>
      </c>
      <c r="AG27" s="1" t="s">
        <v>96</v>
      </c>
      <c r="AH27">
        <f t="shared" si="0"/>
        <v>297.5</v>
      </c>
      <c r="AI27">
        <v>1.75</v>
      </c>
      <c r="AJ27">
        <f>ROUND(AH27*AI27/100,2)</f>
        <v>5.21</v>
      </c>
      <c r="AP27" t="s">
        <v>65</v>
      </c>
      <c r="AQ27">
        <v>12354</v>
      </c>
      <c r="AR27" s="1" t="s">
        <v>71</v>
      </c>
      <c r="AS27" s="3">
        <v>45406</v>
      </c>
      <c r="AT27" s="1" t="s">
        <v>72</v>
      </c>
      <c r="AU27" t="s">
        <v>72</v>
      </c>
      <c r="AW27" t="s">
        <v>72</v>
      </c>
      <c r="AX27" t="s">
        <v>72</v>
      </c>
      <c r="AY27" t="s">
        <v>73</v>
      </c>
      <c r="AZ27" s="15" t="s">
        <v>64</v>
      </c>
    </row>
    <row r="28" spans="1:61" x14ac:dyDescent="0.25">
      <c r="A28" s="1" t="s">
        <v>121</v>
      </c>
      <c r="B28" t="s">
        <v>122</v>
      </c>
      <c r="C28" s="9" t="s">
        <v>64</v>
      </c>
      <c r="D28" t="b">
        <v>0</v>
      </c>
      <c r="G28" s="21">
        <v>45406</v>
      </c>
      <c r="H28" s="21">
        <v>45406</v>
      </c>
      <c r="I28" s="1" t="s">
        <v>64</v>
      </c>
      <c r="J28" s="1" t="s">
        <v>65</v>
      </c>
      <c r="K28">
        <v>229</v>
      </c>
      <c r="L28" s="1" t="s">
        <v>123</v>
      </c>
      <c r="M28" s="21">
        <v>45753</v>
      </c>
      <c r="N28" s="1" t="s">
        <v>64</v>
      </c>
      <c r="O28" t="s">
        <v>68</v>
      </c>
      <c r="P28" t="s">
        <v>104</v>
      </c>
      <c r="Q28">
        <v>0</v>
      </c>
      <c r="R28">
        <v>690</v>
      </c>
      <c r="S28">
        <v>15</v>
      </c>
      <c r="T28">
        <f t="shared" si="1"/>
        <v>103.5</v>
      </c>
      <c r="AC28">
        <v>24.84</v>
      </c>
      <c r="AG28" s="1" t="s">
        <v>96</v>
      </c>
      <c r="AH28">
        <f t="shared" si="0"/>
        <v>690</v>
      </c>
      <c r="AI28">
        <v>1.75</v>
      </c>
      <c r="AJ28">
        <f>ROUND(AH28*AI28/100,2)</f>
        <v>12.08</v>
      </c>
      <c r="AP28" t="s">
        <v>65</v>
      </c>
      <c r="AQ28">
        <v>12355</v>
      </c>
      <c r="AR28" s="1" t="s">
        <v>71</v>
      </c>
      <c r="AS28" s="3">
        <v>45406</v>
      </c>
      <c r="AT28" s="1" t="s">
        <v>72</v>
      </c>
      <c r="AU28" t="s">
        <v>72</v>
      </c>
      <c r="AW28" t="s">
        <v>72</v>
      </c>
      <c r="AX28" t="s">
        <v>72</v>
      </c>
      <c r="AY28" t="s">
        <v>73</v>
      </c>
      <c r="AZ28" s="15" t="s">
        <v>64</v>
      </c>
      <c r="BI28" s="1" t="s">
        <v>74</v>
      </c>
    </row>
    <row r="29" spans="1:61" x14ac:dyDescent="0.25">
      <c r="A29" s="1" t="s">
        <v>121</v>
      </c>
      <c r="B29" t="s">
        <v>122</v>
      </c>
      <c r="C29" s="9" t="s">
        <v>64</v>
      </c>
      <c r="D29" t="b">
        <v>0</v>
      </c>
      <c r="G29" s="21">
        <v>45406</v>
      </c>
      <c r="H29" s="21">
        <v>45406</v>
      </c>
      <c r="I29" s="1" t="s">
        <v>64</v>
      </c>
      <c r="J29" s="1" t="s">
        <v>65</v>
      </c>
      <c r="K29">
        <v>232</v>
      </c>
      <c r="L29" s="1" t="s">
        <v>123</v>
      </c>
      <c r="M29" s="21">
        <v>45437</v>
      </c>
      <c r="N29" s="1" t="s">
        <v>64</v>
      </c>
      <c r="O29" t="s">
        <v>68</v>
      </c>
      <c r="P29" t="s">
        <v>104</v>
      </c>
      <c r="Q29">
        <v>0</v>
      </c>
      <c r="R29">
        <v>7</v>
      </c>
      <c r="S29">
        <v>15</v>
      </c>
      <c r="T29">
        <f t="shared" si="1"/>
        <v>1.05</v>
      </c>
      <c r="AC29">
        <v>0.25</v>
      </c>
      <c r="AG29" s="1" t="s">
        <v>96</v>
      </c>
      <c r="AH29">
        <f t="shared" si="0"/>
        <v>7</v>
      </c>
      <c r="AI29">
        <v>1.75</v>
      </c>
      <c r="AJ29">
        <f>ROUND(AH29*AI29/100,2)</f>
        <v>0.12</v>
      </c>
      <c r="AP29" t="s">
        <v>65</v>
      </c>
      <c r="AQ29">
        <v>12356</v>
      </c>
      <c r="AR29" s="1" t="s">
        <v>71</v>
      </c>
      <c r="AS29" s="3">
        <v>45406</v>
      </c>
      <c r="AT29" s="1" t="s">
        <v>72</v>
      </c>
      <c r="AU29" t="s">
        <v>72</v>
      </c>
      <c r="AW29" t="s">
        <v>72</v>
      </c>
      <c r="AX29" t="s">
        <v>72</v>
      </c>
      <c r="AY29" t="s">
        <v>73</v>
      </c>
      <c r="AZ29" s="15" t="s">
        <v>64</v>
      </c>
    </row>
    <row r="30" spans="1:61" x14ac:dyDescent="0.25">
      <c r="A30" s="1" t="s">
        <v>121</v>
      </c>
      <c r="B30" t="s">
        <v>122</v>
      </c>
      <c r="C30" s="9" t="s">
        <v>64</v>
      </c>
      <c r="D30" t="b">
        <v>0</v>
      </c>
      <c r="G30" s="21">
        <v>45406</v>
      </c>
      <c r="H30" s="21">
        <v>45406</v>
      </c>
      <c r="I30" s="1" t="s">
        <v>64</v>
      </c>
      <c r="J30" s="1" t="s">
        <v>65</v>
      </c>
      <c r="K30">
        <v>230</v>
      </c>
      <c r="L30" s="1" t="s">
        <v>123</v>
      </c>
      <c r="M30" s="21">
        <v>45437</v>
      </c>
      <c r="N30" s="1" t="s">
        <v>64</v>
      </c>
      <c r="O30" t="s">
        <v>68</v>
      </c>
      <c r="P30" t="s">
        <v>104</v>
      </c>
      <c r="Q30">
        <v>0</v>
      </c>
      <c r="R30">
        <v>291.64</v>
      </c>
      <c r="S30">
        <v>15</v>
      </c>
      <c r="T30">
        <f t="shared" si="1"/>
        <v>43.75</v>
      </c>
      <c r="AC30">
        <v>10.5</v>
      </c>
      <c r="AG30" s="1" t="s">
        <v>96</v>
      </c>
      <c r="AH30">
        <f t="shared" si="0"/>
        <v>291.64</v>
      </c>
      <c r="AI30">
        <v>1.75</v>
      </c>
      <c r="AJ30">
        <f>ROUND(AH30*AI30/100,2)</f>
        <v>5.0999999999999996</v>
      </c>
      <c r="AP30" t="s">
        <v>65</v>
      </c>
      <c r="AQ30">
        <v>12357</v>
      </c>
      <c r="AR30" s="1" t="s">
        <v>71</v>
      </c>
      <c r="AS30" s="3">
        <v>45406</v>
      </c>
      <c r="AT30" s="1" t="s">
        <v>72</v>
      </c>
      <c r="AU30" t="s">
        <v>72</v>
      </c>
      <c r="AW30" t="s">
        <v>72</v>
      </c>
      <c r="AX30" t="s">
        <v>72</v>
      </c>
      <c r="AY30" t="s">
        <v>73</v>
      </c>
      <c r="AZ30" s="15" t="s">
        <v>64</v>
      </c>
    </row>
    <row r="31" spans="1:61" x14ac:dyDescent="0.25">
      <c r="A31" s="1" t="s">
        <v>124</v>
      </c>
      <c r="B31" t="s">
        <v>125</v>
      </c>
      <c r="C31" s="9" t="s">
        <v>64</v>
      </c>
      <c r="D31" t="b">
        <v>0</v>
      </c>
      <c r="G31" s="21">
        <v>45406</v>
      </c>
      <c r="H31" s="21">
        <v>45406</v>
      </c>
      <c r="I31" s="1" t="s">
        <v>64</v>
      </c>
      <c r="J31" s="1" t="s">
        <v>126</v>
      </c>
      <c r="K31">
        <v>1540</v>
      </c>
      <c r="L31" s="1" t="s">
        <v>127</v>
      </c>
      <c r="M31" s="21">
        <v>45607</v>
      </c>
      <c r="N31" s="1" t="s">
        <v>64</v>
      </c>
      <c r="O31" t="s">
        <v>68</v>
      </c>
      <c r="P31" t="s">
        <v>104</v>
      </c>
      <c r="Q31">
        <v>0</v>
      </c>
      <c r="R31">
        <v>4921.7</v>
      </c>
      <c r="S31">
        <v>15</v>
      </c>
      <c r="T31">
        <f t="shared" si="1"/>
        <v>738.26</v>
      </c>
      <c r="AG31" s="15" t="s">
        <v>85</v>
      </c>
      <c r="AH31">
        <f t="shared" si="0"/>
        <v>4921.7</v>
      </c>
      <c r="AI31">
        <v>0</v>
      </c>
      <c r="AJ31">
        <v>0</v>
      </c>
      <c r="AP31" t="s">
        <v>72</v>
      </c>
      <c r="AR31" s="1" t="s">
        <v>72</v>
      </c>
      <c r="AT31" s="1" t="s">
        <v>72</v>
      </c>
      <c r="AU31" t="s">
        <v>72</v>
      </c>
      <c r="AW31" t="s">
        <v>72</v>
      </c>
      <c r="AX31" t="s">
        <v>72</v>
      </c>
      <c r="AY31" t="s">
        <v>73</v>
      </c>
      <c r="AZ31" s="15" t="s">
        <v>64</v>
      </c>
      <c r="BI31" s="16" t="s">
        <v>74</v>
      </c>
    </row>
    <row r="32" spans="1:61" x14ac:dyDescent="0.25">
      <c r="A32" s="1" t="s">
        <v>111</v>
      </c>
      <c r="B32" t="s">
        <v>112</v>
      </c>
      <c r="C32" s="9" t="s">
        <v>64</v>
      </c>
      <c r="D32" t="b">
        <v>0</v>
      </c>
      <c r="G32" s="21">
        <v>45406</v>
      </c>
      <c r="H32" s="21">
        <v>45406</v>
      </c>
      <c r="I32" s="1" t="s">
        <v>64</v>
      </c>
      <c r="J32" s="1" t="s">
        <v>65</v>
      </c>
      <c r="K32">
        <v>166</v>
      </c>
      <c r="L32" s="1" t="s">
        <v>113</v>
      </c>
      <c r="M32" s="21">
        <v>45437</v>
      </c>
      <c r="N32" s="1" t="s">
        <v>64</v>
      </c>
      <c r="O32" t="s">
        <v>78</v>
      </c>
      <c r="P32" t="s">
        <v>128</v>
      </c>
      <c r="Q32">
        <v>50</v>
      </c>
      <c r="R32">
        <v>0</v>
      </c>
      <c r="S32">
        <v>15</v>
      </c>
      <c r="T32">
        <f t="shared" si="1"/>
        <v>0</v>
      </c>
      <c r="AG32" s="1" t="s">
        <v>96</v>
      </c>
      <c r="AH32">
        <f t="shared" si="0"/>
        <v>50</v>
      </c>
      <c r="AI32">
        <v>1.75</v>
      </c>
      <c r="AJ32">
        <f>ROUND(AH32*AI32/100,2)</f>
        <v>0.88</v>
      </c>
      <c r="AP32" t="s">
        <v>65</v>
      </c>
      <c r="AQ32">
        <v>12358</v>
      </c>
      <c r="AR32" s="1" t="s">
        <v>71</v>
      </c>
      <c r="AS32" s="3">
        <v>45406</v>
      </c>
      <c r="AT32" s="1" t="s">
        <v>72</v>
      </c>
      <c r="AU32" t="s">
        <v>72</v>
      </c>
      <c r="AW32" t="s">
        <v>72</v>
      </c>
      <c r="AX32" t="s">
        <v>72</v>
      </c>
      <c r="AY32" t="s">
        <v>73</v>
      </c>
      <c r="AZ32" s="15" t="s">
        <v>64</v>
      </c>
    </row>
    <row r="33" spans="1:61" x14ac:dyDescent="0.25">
      <c r="A33" s="1" t="s">
        <v>129</v>
      </c>
      <c r="B33" t="s">
        <v>130</v>
      </c>
      <c r="C33" s="9" t="s">
        <v>64</v>
      </c>
      <c r="D33" t="b">
        <v>0</v>
      </c>
      <c r="G33" s="21">
        <v>45406</v>
      </c>
      <c r="H33" s="21">
        <v>45406</v>
      </c>
      <c r="I33" s="1" t="s">
        <v>64</v>
      </c>
      <c r="J33" s="1" t="s">
        <v>65</v>
      </c>
      <c r="K33">
        <v>260</v>
      </c>
      <c r="L33" s="1" t="s">
        <v>131</v>
      </c>
      <c r="M33" s="21">
        <v>45437</v>
      </c>
      <c r="N33" s="1" t="s">
        <v>64</v>
      </c>
      <c r="O33" t="s">
        <v>78</v>
      </c>
      <c r="P33" t="s">
        <v>79</v>
      </c>
      <c r="Q33">
        <v>25</v>
      </c>
      <c r="R33">
        <v>0</v>
      </c>
      <c r="S33">
        <v>15</v>
      </c>
      <c r="T33">
        <f t="shared" si="1"/>
        <v>0</v>
      </c>
      <c r="AG33" s="1" t="s">
        <v>96</v>
      </c>
      <c r="AH33">
        <f t="shared" si="0"/>
        <v>25</v>
      </c>
      <c r="AI33">
        <v>1.75</v>
      </c>
      <c r="AJ33">
        <f>ROUND(AH33*AI33/100,2)</f>
        <v>0.44</v>
      </c>
      <c r="AP33" t="s">
        <v>65</v>
      </c>
      <c r="AQ33">
        <v>12359</v>
      </c>
      <c r="AR33" s="1" t="s">
        <v>71</v>
      </c>
      <c r="AS33" s="3">
        <v>45406</v>
      </c>
      <c r="AT33" s="1" t="s">
        <v>72</v>
      </c>
      <c r="AU33" t="s">
        <v>72</v>
      </c>
      <c r="AW33" t="s">
        <v>72</v>
      </c>
      <c r="AX33" t="s">
        <v>72</v>
      </c>
      <c r="AY33" t="s">
        <v>73</v>
      </c>
      <c r="AZ33" s="15" t="s">
        <v>64</v>
      </c>
    </row>
    <row r="34" spans="1:61" x14ac:dyDescent="0.25">
      <c r="A34" s="1" t="s">
        <v>129</v>
      </c>
      <c r="B34" t="s">
        <v>130</v>
      </c>
      <c r="C34" s="9" t="s">
        <v>64</v>
      </c>
      <c r="D34" t="b">
        <v>0</v>
      </c>
      <c r="G34" s="21">
        <v>45406</v>
      </c>
      <c r="H34" s="21">
        <v>45406</v>
      </c>
      <c r="I34" s="1" t="s">
        <v>64</v>
      </c>
      <c r="J34" s="1" t="s">
        <v>65</v>
      </c>
      <c r="K34">
        <v>261</v>
      </c>
      <c r="L34" s="1" t="s">
        <v>131</v>
      </c>
      <c r="M34" s="21">
        <v>45437</v>
      </c>
      <c r="N34" s="1" t="s">
        <v>64</v>
      </c>
      <c r="O34" t="s">
        <v>78</v>
      </c>
      <c r="P34" t="s">
        <v>79</v>
      </c>
      <c r="Q34">
        <v>185</v>
      </c>
      <c r="R34">
        <v>0</v>
      </c>
      <c r="S34">
        <v>15</v>
      </c>
      <c r="T34">
        <f t="shared" si="1"/>
        <v>0</v>
      </c>
      <c r="AG34" s="1" t="s">
        <v>96</v>
      </c>
      <c r="AH34">
        <f t="shared" si="0"/>
        <v>185</v>
      </c>
      <c r="AI34">
        <v>1.75</v>
      </c>
      <c r="AJ34">
        <f>ROUND(AH34*AI34/100,2)</f>
        <v>3.24</v>
      </c>
      <c r="AP34" t="s">
        <v>65</v>
      </c>
      <c r="AQ34">
        <v>12360</v>
      </c>
      <c r="AR34" s="1" t="s">
        <v>71</v>
      </c>
      <c r="AS34" s="3">
        <v>45406</v>
      </c>
      <c r="AT34" s="1" t="s">
        <v>72</v>
      </c>
      <c r="AU34" t="s">
        <v>72</v>
      </c>
      <c r="AW34" t="s">
        <v>72</v>
      </c>
      <c r="AX34" t="s">
        <v>72</v>
      </c>
      <c r="AY34" t="s">
        <v>73</v>
      </c>
      <c r="AZ34" s="15" t="s">
        <v>64</v>
      </c>
    </row>
    <row r="35" spans="1:61" x14ac:dyDescent="0.25">
      <c r="A35" s="1" t="s">
        <v>129</v>
      </c>
      <c r="B35" t="s">
        <v>130</v>
      </c>
      <c r="C35" s="9" t="s">
        <v>64</v>
      </c>
      <c r="D35" t="b">
        <v>0</v>
      </c>
      <c r="G35" s="21">
        <v>45406</v>
      </c>
      <c r="H35" s="21">
        <v>45406</v>
      </c>
      <c r="I35" s="1" t="s">
        <v>64</v>
      </c>
      <c r="J35" s="1" t="s">
        <v>65</v>
      </c>
      <c r="K35">
        <v>263</v>
      </c>
      <c r="L35" s="1" t="s">
        <v>131</v>
      </c>
      <c r="M35" s="21">
        <v>45437</v>
      </c>
      <c r="N35" s="1" t="s">
        <v>64</v>
      </c>
      <c r="O35" t="s">
        <v>78</v>
      </c>
      <c r="P35" t="s">
        <v>79</v>
      </c>
      <c r="Q35">
        <v>60</v>
      </c>
      <c r="R35">
        <v>0</v>
      </c>
      <c r="S35">
        <v>15</v>
      </c>
      <c r="T35">
        <f t="shared" si="1"/>
        <v>0</v>
      </c>
      <c r="AG35" s="1" t="s">
        <v>96</v>
      </c>
      <c r="AH35">
        <f t="shared" si="0"/>
        <v>60</v>
      </c>
      <c r="AI35">
        <v>1.75</v>
      </c>
      <c r="AJ35">
        <f>ROUND(AH35*AI35/100,2)</f>
        <v>1.05</v>
      </c>
      <c r="AP35" t="s">
        <v>65</v>
      </c>
      <c r="AQ35">
        <v>12361</v>
      </c>
      <c r="AR35" s="1" t="s">
        <v>71</v>
      </c>
      <c r="AS35" s="3">
        <v>45406</v>
      </c>
      <c r="AT35" s="1" t="s">
        <v>72</v>
      </c>
      <c r="AU35" t="s">
        <v>72</v>
      </c>
      <c r="AW35" t="s">
        <v>72</v>
      </c>
      <c r="AX35" t="s">
        <v>72</v>
      </c>
      <c r="AY35" t="s">
        <v>73</v>
      </c>
      <c r="AZ35" s="15" t="s">
        <v>64</v>
      </c>
    </row>
    <row r="36" spans="1:61" x14ac:dyDescent="0.25">
      <c r="A36" s="1" t="s">
        <v>121</v>
      </c>
      <c r="B36" t="s">
        <v>122</v>
      </c>
      <c r="C36" s="9" t="s">
        <v>64</v>
      </c>
      <c r="D36" t="b">
        <v>0</v>
      </c>
      <c r="G36" s="21">
        <v>45406</v>
      </c>
      <c r="H36" s="21">
        <v>45406</v>
      </c>
      <c r="I36" s="1" t="s">
        <v>64</v>
      </c>
      <c r="J36" s="1" t="s">
        <v>65</v>
      </c>
      <c r="K36">
        <v>233</v>
      </c>
      <c r="L36" s="1" t="s">
        <v>123</v>
      </c>
      <c r="M36" s="21">
        <v>45437</v>
      </c>
      <c r="N36" s="1" t="s">
        <v>64</v>
      </c>
      <c r="O36" t="s">
        <v>68</v>
      </c>
      <c r="P36" t="s">
        <v>79</v>
      </c>
      <c r="Q36">
        <v>0</v>
      </c>
      <c r="R36">
        <v>80</v>
      </c>
      <c r="S36">
        <v>15</v>
      </c>
      <c r="T36">
        <f t="shared" si="1"/>
        <v>12</v>
      </c>
      <c r="AE36">
        <v>6.72</v>
      </c>
      <c r="AG36" s="1" t="s">
        <v>80</v>
      </c>
      <c r="AH36">
        <f t="shared" si="0"/>
        <v>80</v>
      </c>
      <c r="AI36">
        <v>2</v>
      </c>
      <c r="AJ36">
        <v>1.6</v>
      </c>
      <c r="AP36" t="s">
        <v>65</v>
      </c>
      <c r="AQ36">
        <v>12362</v>
      </c>
      <c r="AR36" s="1" t="s">
        <v>71</v>
      </c>
      <c r="AS36" s="3">
        <v>45406</v>
      </c>
      <c r="AT36" s="1" t="s">
        <v>72</v>
      </c>
      <c r="AU36" t="s">
        <v>72</v>
      </c>
      <c r="AW36" t="s">
        <v>72</v>
      </c>
      <c r="AX36" t="s">
        <v>72</v>
      </c>
      <c r="AY36" t="s">
        <v>73</v>
      </c>
      <c r="AZ36" s="15" t="s">
        <v>64</v>
      </c>
    </row>
    <row r="37" spans="1:61" x14ac:dyDescent="0.25">
      <c r="A37" s="1" t="s">
        <v>114</v>
      </c>
      <c r="B37" t="s">
        <v>115</v>
      </c>
      <c r="C37" s="9" t="s">
        <v>64</v>
      </c>
      <c r="D37" t="b">
        <v>0</v>
      </c>
      <c r="G37" s="21">
        <v>45406</v>
      </c>
      <c r="H37" s="21">
        <v>45406</v>
      </c>
      <c r="I37" s="1" t="s">
        <v>64</v>
      </c>
      <c r="J37" s="1" t="s">
        <v>65</v>
      </c>
      <c r="K37">
        <v>889</v>
      </c>
      <c r="L37" s="1" t="s">
        <v>116</v>
      </c>
      <c r="M37" s="21">
        <v>45647</v>
      </c>
      <c r="N37" s="1" t="s">
        <v>64</v>
      </c>
      <c r="O37" t="s">
        <v>68</v>
      </c>
      <c r="P37" t="s">
        <v>79</v>
      </c>
      <c r="Q37">
        <v>0</v>
      </c>
      <c r="R37">
        <v>2180</v>
      </c>
      <c r="S37">
        <v>15</v>
      </c>
      <c r="T37">
        <f t="shared" si="1"/>
        <v>327</v>
      </c>
      <c r="AE37">
        <v>183.12</v>
      </c>
      <c r="AG37" s="1" t="s">
        <v>80</v>
      </c>
      <c r="AH37">
        <f t="shared" si="0"/>
        <v>2180</v>
      </c>
      <c r="AI37">
        <v>2</v>
      </c>
      <c r="AJ37">
        <v>43.6</v>
      </c>
      <c r="AP37" t="s">
        <v>65</v>
      </c>
      <c r="AQ37">
        <v>12363</v>
      </c>
      <c r="AR37" s="1" t="s">
        <v>71</v>
      </c>
      <c r="AS37" s="3">
        <v>45406</v>
      </c>
      <c r="AT37" s="1" t="s">
        <v>72</v>
      </c>
      <c r="AU37" t="s">
        <v>72</v>
      </c>
      <c r="AW37" t="s">
        <v>72</v>
      </c>
      <c r="AX37" t="s">
        <v>72</v>
      </c>
      <c r="AY37" t="s">
        <v>73</v>
      </c>
      <c r="AZ37" s="15" t="s">
        <v>64</v>
      </c>
      <c r="BI37" s="16" t="s">
        <v>74</v>
      </c>
    </row>
    <row r="38" spans="1:61" x14ac:dyDescent="0.25">
      <c r="A38" s="1" t="s">
        <v>132</v>
      </c>
      <c r="B38" t="s">
        <v>133</v>
      </c>
      <c r="C38" s="9" t="s">
        <v>64</v>
      </c>
      <c r="D38" t="b">
        <v>0</v>
      </c>
      <c r="G38" s="21">
        <v>45407</v>
      </c>
      <c r="H38" s="21">
        <v>45407</v>
      </c>
      <c r="I38" s="1" t="s">
        <v>64</v>
      </c>
      <c r="J38" s="1" t="s">
        <v>65</v>
      </c>
      <c r="K38">
        <v>5</v>
      </c>
      <c r="L38" s="1" t="s">
        <v>134</v>
      </c>
      <c r="M38" s="21">
        <v>45607</v>
      </c>
      <c r="N38" s="1" t="s">
        <v>64</v>
      </c>
      <c r="O38" t="s">
        <v>68</v>
      </c>
      <c r="P38" t="s">
        <v>135</v>
      </c>
      <c r="Q38">
        <v>0</v>
      </c>
      <c r="R38">
        <v>56474.65</v>
      </c>
      <c r="S38">
        <v>15</v>
      </c>
      <c r="T38">
        <f t="shared" si="1"/>
        <v>8471.2000000000007</v>
      </c>
      <c r="AC38">
        <v>2033.09</v>
      </c>
      <c r="AG38" s="15" t="s">
        <v>96</v>
      </c>
      <c r="AH38">
        <f t="shared" si="0"/>
        <v>56474.65</v>
      </c>
      <c r="AI38">
        <v>1.75</v>
      </c>
      <c r="AJ38">
        <f>ROUND(AH38*AI38/100,2)</f>
        <v>988.31</v>
      </c>
      <c r="AP38" t="s">
        <v>65</v>
      </c>
      <c r="AQ38">
        <v>12330</v>
      </c>
      <c r="AR38" s="1" t="s">
        <v>71</v>
      </c>
      <c r="AS38" s="3">
        <v>45407</v>
      </c>
      <c r="AT38" s="1" t="s">
        <v>72</v>
      </c>
      <c r="AU38" t="s">
        <v>72</v>
      </c>
      <c r="AW38" t="s">
        <v>72</v>
      </c>
      <c r="AX38" t="s">
        <v>72</v>
      </c>
      <c r="AY38" t="s">
        <v>73</v>
      </c>
      <c r="AZ38" s="15" t="s">
        <v>64</v>
      </c>
      <c r="BI38" s="16" t="s">
        <v>74</v>
      </c>
    </row>
    <row r="39" spans="1:61" x14ac:dyDescent="0.25">
      <c r="A39" s="1" t="s">
        <v>136</v>
      </c>
      <c r="B39" t="s">
        <v>137</v>
      </c>
      <c r="C39" s="9" t="s">
        <v>64</v>
      </c>
      <c r="D39" t="b">
        <v>0</v>
      </c>
      <c r="G39" s="21">
        <v>45407</v>
      </c>
      <c r="H39" s="21">
        <v>45407</v>
      </c>
      <c r="I39" s="1" t="s">
        <v>64</v>
      </c>
      <c r="J39" s="1" t="s">
        <v>65</v>
      </c>
      <c r="K39">
        <v>256</v>
      </c>
      <c r="L39" s="1" t="s">
        <v>138</v>
      </c>
      <c r="M39" s="21">
        <v>45437</v>
      </c>
      <c r="N39" s="1" t="s">
        <v>64</v>
      </c>
      <c r="O39" t="s">
        <v>68</v>
      </c>
      <c r="P39" t="s">
        <v>79</v>
      </c>
      <c r="Q39">
        <v>0</v>
      </c>
      <c r="R39">
        <v>2660</v>
      </c>
      <c r="S39">
        <v>15</v>
      </c>
      <c r="T39">
        <f t="shared" si="1"/>
        <v>399</v>
      </c>
      <c r="AF39">
        <v>319.2</v>
      </c>
      <c r="AG39" s="1" t="s">
        <v>139</v>
      </c>
      <c r="AH39">
        <f t="shared" si="0"/>
        <v>2660</v>
      </c>
      <c r="AI39">
        <v>10</v>
      </c>
      <c r="AJ39">
        <v>266</v>
      </c>
      <c r="AP39" t="s">
        <v>65</v>
      </c>
      <c r="AQ39">
        <v>12332</v>
      </c>
      <c r="AR39" s="1" t="s">
        <v>71</v>
      </c>
      <c r="AS39" s="3">
        <v>45407</v>
      </c>
      <c r="AT39" s="1" t="s">
        <v>72</v>
      </c>
      <c r="AU39" t="s">
        <v>72</v>
      </c>
      <c r="AW39" t="s">
        <v>72</v>
      </c>
      <c r="AX39" t="s">
        <v>72</v>
      </c>
      <c r="AY39" t="s">
        <v>73</v>
      </c>
      <c r="AZ39" s="15" t="s">
        <v>64</v>
      </c>
      <c r="BI39" s="16" t="s">
        <v>74</v>
      </c>
    </row>
    <row r="40" spans="1:61" x14ac:dyDescent="0.25">
      <c r="A40" s="1" t="s">
        <v>140</v>
      </c>
      <c r="B40" t="s">
        <v>141</v>
      </c>
      <c r="C40" s="9" t="s">
        <v>64</v>
      </c>
      <c r="D40" t="b">
        <v>0</v>
      </c>
      <c r="G40" s="21">
        <v>45407</v>
      </c>
      <c r="H40" s="21">
        <v>45407</v>
      </c>
      <c r="I40" s="1" t="s">
        <v>64</v>
      </c>
      <c r="J40" s="1" t="s">
        <v>142</v>
      </c>
      <c r="K40">
        <v>807</v>
      </c>
      <c r="L40" s="1" t="s">
        <v>143</v>
      </c>
      <c r="M40" s="21">
        <v>45437</v>
      </c>
      <c r="N40" s="1" t="s">
        <v>64</v>
      </c>
      <c r="O40" t="s">
        <v>78</v>
      </c>
      <c r="P40" t="s">
        <v>79</v>
      </c>
      <c r="Q40">
        <v>600</v>
      </c>
      <c r="R40">
        <v>0</v>
      </c>
      <c r="S40">
        <v>15</v>
      </c>
      <c r="T40">
        <f t="shared" si="1"/>
        <v>0</v>
      </c>
      <c r="AG40" s="1" t="s">
        <v>96</v>
      </c>
      <c r="AH40">
        <f t="shared" si="0"/>
        <v>600</v>
      </c>
      <c r="AI40">
        <v>1.75</v>
      </c>
      <c r="AJ40">
        <f>ROUND(AH40*AI40/100,2)</f>
        <v>10.5</v>
      </c>
      <c r="AP40" t="s">
        <v>65</v>
      </c>
      <c r="AQ40">
        <v>12364</v>
      </c>
      <c r="AR40" s="1" t="s">
        <v>71</v>
      </c>
      <c r="AS40" s="3">
        <v>45407</v>
      </c>
      <c r="AT40" s="1" t="s">
        <v>72</v>
      </c>
      <c r="AU40" t="s">
        <v>72</v>
      </c>
      <c r="AW40" t="s">
        <v>72</v>
      </c>
      <c r="AX40" t="s">
        <v>72</v>
      </c>
      <c r="AY40" t="s">
        <v>73</v>
      </c>
      <c r="AZ40" s="15" t="s">
        <v>64</v>
      </c>
      <c r="BI40" s="1" t="s">
        <v>74</v>
      </c>
    </row>
    <row r="41" spans="1:61" x14ac:dyDescent="0.25">
      <c r="A41" s="1" t="s">
        <v>144</v>
      </c>
      <c r="B41" t="s">
        <v>145</v>
      </c>
      <c r="C41" s="9" t="s">
        <v>64</v>
      </c>
      <c r="D41" t="b">
        <v>0</v>
      </c>
      <c r="G41" s="21">
        <v>45407</v>
      </c>
      <c r="H41" s="21">
        <v>45407</v>
      </c>
      <c r="I41" s="1" t="s">
        <v>64</v>
      </c>
      <c r="J41" s="1" t="s">
        <v>146</v>
      </c>
      <c r="K41">
        <v>928</v>
      </c>
      <c r="L41" s="1" t="s">
        <v>147</v>
      </c>
      <c r="M41" s="21">
        <v>45774</v>
      </c>
      <c r="N41" s="1" t="s">
        <v>64</v>
      </c>
      <c r="O41" t="s">
        <v>68</v>
      </c>
      <c r="P41" t="s">
        <v>79</v>
      </c>
      <c r="Q41">
        <v>0</v>
      </c>
      <c r="R41">
        <v>42</v>
      </c>
      <c r="S41">
        <v>15</v>
      </c>
      <c r="T41">
        <f t="shared" si="1"/>
        <v>6.3</v>
      </c>
      <c r="AE41">
        <v>3.53</v>
      </c>
      <c r="AG41" s="15" t="s">
        <v>70</v>
      </c>
      <c r="AH41">
        <f t="shared" si="0"/>
        <v>42</v>
      </c>
      <c r="AI41">
        <v>2.75</v>
      </c>
      <c r="AJ41">
        <f>ROUND(AH41*AI41/100,2)</f>
        <v>1.1599999999999999</v>
      </c>
      <c r="AP41" t="s">
        <v>65</v>
      </c>
      <c r="AQ41">
        <v>12365</v>
      </c>
      <c r="AR41" s="1" t="s">
        <v>71</v>
      </c>
      <c r="AS41" s="3">
        <v>45407</v>
      </c>
      <c r="AT41" s="1" t="s">
        <v>72</v>
      </c>
      <c r="AU41" t="s">
        <v>72</v>
      </c>
      <c r="AW41" t="s">
        <v>72</v>
      </c>
      <c r="AX41" t="s">
        <v>72</v>
      </c>
      <c r="AY41" t="s">
        <v>73</v>
      </c>
      <c r="AZ41" s="15" t="s">
        <v>64</v>
      </c>
    </row>
    <row r="42" spans="1:61" x14ac:dyDescent="0.25">
      <c r="A42" s="1" t="s">
        <v>148</v>
      </c>
      <c r="B42" t="s">
        <v>149</v>
      </c>
      <c r="C42" s="9" t="s">
        <v>64</v>
      </c>
      <c r="D42" t="b">
        <v>0</v>
      </c>
      <c r="G42" s="21">
        <v>45408</v>
      </c>
      <c r="H42" s="21">
        <v>45408</v>
      </c>
      <c r="I42" s="1" t="s">
        <v>64</v>
      </c>
      <c r="J42" s="1" t="s">
        <v>119</v>
      </c>
      <c r="K42">
        <v>5395</v>
      </c>
      <c r="L42" s="1" t="s">
        <v>150</v>
      </c>
      <c r="M42" s="21">
        <v>45672</v>
      </c>
      <c r="N42" s="1" t="s">
        <v>64</v>
      </c>
      <c r="O42" t="s">
        <v>68</v>
      </c>
      <c r="P42" t="s">
        <v>104</v>
      </c>
      <c r="Q42">
        <v>0</v>
      </c>
      <c r="R42">
        <v>473.4</v>
      </c>
      <c r="S42">
        <v>15</v>
      </c>
      <c r="T42">
        <f t="shared" si="1"/>
        <v>71.010000000000005</v>
      </c>
      <c r="AC42">
        <v>17.04</v>
      </c>
      <c r="AG42" s="1" t="s">
        <v>96</v>
      </c>
      <c r="AH42">
        <f t="shared" si="0"/>
        <v>473.4</v>
      </c>
      <c r="AI42">
        <v>1.75</v>
      </c>
      <c r="AJ42">
        <f>ROUND(AH42*AI42/100,2)</f>
        <v>8.2799999999999994</v>
      </c>
      <c r="AP42" t="s">
        <v>65</v>
      </c>
      <c r="AQ42">
        <v>12334</v>
      </c>
      <c r="AR42" s="1" t="s">
        <v>71</v>
      </c>
      <c r="AS42" s="3">
        <v>45408</v>
      </c>
      <c r="AT42" s="1" t="s">
        <v>72</v>
      </c>
      <c r="AU42" t="s">
        <v>72</v>
      </c>
      <c r="AW42" t="s">
        <v>72</v>
      </c>
      <c r="AX42" t="s">
        <v>72</v>
      </c>
      <c r="AY42" t="s">
        <v>73</v>
      </c>
      <c r="AZ42" s="15" t="s">
        <v>64</v>
      </c>
      <c r="BI42" s="1" t="s">
        <v>74</v>
      </c>
    </row>
    <row r="43" spans="1:61" x14ac:dyDescent="0.25">
      <c r="A43" s="1" t="s">
        <v>151</v>
      </c>
      <c r="B43" t="s">
        <v>152</v>
      </c>
      <c r="C43" s="9" t="s">
        <v>64</v>
      </c>
      <c r="D43" t="b">
        <v>0</v>
      </c>
      <c r="G43" s="21">
        <v>45408</v>
      </c>
      <c r="H43" s="21">
        <v>45408</v>
      </c>
      <c r="I43" s="1" t="s">
        <v>64</v>
      </c>
      <c r="J43" s="1" t="s">
        <v>65</v>
      </c>
      <c r="K43">
        <v>3468</v>
      </c>
      <c r="L43" s="1" t="s">
        <v>153</v>
      </c>
      <c r="M43" s="21">
        <v>45586</v>
      </c>
      <c r="N43" s="1" t="s">
        <v>64</v>
      </c>
      <c r="O43" t="s">
        <v>68</v>
      </c>
      <c r="P43" t="s">
        <v>104</v>
      </c>
      <c r="Q43">
        <v>0</v>
      </c>
      <c r="R43">
        <v>83.75</v>
      </c>
      <c r="S43">
        <v>15</v>
      </c>
      <c r="T43">
        <f t="shared" si="1"/>
        <v>12.56</v>
      </c>
      <c r="AC43">
        <v>3.02</v>
      </c>
      <c r="AG43" s="1" t="s">
        <v>96</v>
      </c>
      <c r="AH43">
        <f t="shared" si="0"/>
        <v>83.75</v>
      </c>
      <c r="AI43">
        <v>1.75</v>
      </c>
      <c r="AJ43">
        <f>ROUND(AH43*AI43/100,2)</f>
        <v>1.47</v>
      </c>
      <c r="AP43" t="s">
        <v>65</v>
      </c>
      <c r="AQ43">
        <v>12366</v>
      </c>
      <c r="AR43" s="1" t="s">
        <v>71</v>
      </c>
      <c r="AS43" s="3">
        <v>45408</v>
      </c>
      <c r="AT43" s="1" t="s">
        <v>72</v>
      </c>
      <c r="AU43" t="s">
        <v>72</v>
      </c>
      <c r="AW43" t="s">
        <v>72</v>
      </c>
      <c r="AX43" t="s">
        <v>72</v>
      </c>
      <c r="AY43" t="s">
        <v>73</v>
      </c>
      <c r="AZ43" s="15" t="s">
        <v>64</v>
      </c>
    </row>
    <row r="44" spans="1:61" x14ac:dyDescent="0.25">
      <c r="A44" s="1" t="s">
        <v>154</v>
      </c>
      <c r="B44" t="s">
        <v>155</v>
      </c>
      <c r="C44" s="9" t="s">
        <v>64</v>
      </c>
      <c r="D44" t="b">
        <v>0</v>
      </c>
      <c r="G44" s="21">
        <v>45408</v>
      </c>
      <c r="H44" s="21">
        <v>45408</v>
      </c>
      <c r="I44" s="1" t="s">
        <v>64</v>
      </c>
      <c r="J44" s="1" t="s">
        <v>65</v>
      </c>
      <c r="K44">
        <v>1290</v>
      </c>
      <c r="L44" s="1" t="s">
        <v>156</v>
      </c>
      <c r="M44" s="21">
        <v>45586</v>
      </c>
      <c r="N44" s="1" t="s">
        <v>64</v>
      </c>
      <c r="O44" t="s">
        <v>78</v>
      </c>
      <c r="P44" t="s">
        <v>104</v>
      </c>
      <c r="Q44">
        <v>149.15</v>
      </c>
      <c r="R44">
        <v>0</v>
      </c>
      <c r="S44">
        <v>15</v>
      </c>
      <c r="T44">
        <f t="shared" si="1"/>
        <v>0</v>
      </c>
      <c r="AG44" s="1" t="s">
        <v>96</v>
      </c>
      <c r="AH44">
        <f t="shared" si="0"/>
        <v>149.15</v>
      </c>
      <c r="AI44">
        <v>1.75</v>
      </c>
      <c r="AJ44">
        <f>ROUND(AH44*AI44/100,2)</f>
        <v>2.61</v>
      </c>
      <c r="AP44" t="s">
        <v>65</v>
      </c>
      <c r="AQ44">
        <v>12367</v>
      </c>
      <c r="AR44" s="1" t="s">
        <v>71</v>
      </c>
      <c r="AS44" s="3">
        <v>45408</v>
      </c>
      <c r="AT44" s="1" t="s">
        <v>72</v>
      </c>
      <c r="AU44" t="s">
        <v>72</v>
      </c>
      <c r="AW44" t="s">
        <v>72</v>
      </c>
      <c r="AX44" t="s">
        <v>72</v>
      </c>
      <c r="AY44" t="s">
        <v>73</v>
      </c>
      <c r="AZ44" s="15" t="s">
        <v>64</v>
      </c>
    </row>
    <row r="45" spans="1:61" x14ac:dyDescent="0.25">
      <c r="A45" s="1" t="s">
        <v>157</v>
      </c>
      <c r="B45" t="s">
        <v>158</v>
      </c>
      <c r="C45" s="9" t="s">
        <v>64</v>
      </c>
      <c r="D45" t="b">
        <v>0</v>
      </c>
      <c r="G45" s="21">
        <v>45409</v>
      </c>
      <c r="H45" s="21">
        <v>45409</v>
      </c>
      <c r="I45" s="1" t="s">
        <v>64</v>
      </c>
      <c r="J45" s="1" t="s">
        <v>119</v>
      </c>
      <c r="K45">
        <v>5292</v>
      </c>
      <c r="L45" s="1" t="s">
        <v>159</v>
      </c>
      <c r="M45" s="21">
        <v>45561</v>
      </c>
      <c r="N45" s="1" t="s">
        <v>64</v>
      </c>
      <c r="O45" t="s">
        <v>68</v>
      </c>
      <c r="P45" s="5" t="s">
        <v>79</v>
      </c>
      <c r="Q45">
        <v>0</v>
      </c>
      <c r="R45">
        <v>1500</v>
      </c>
      <c r="S45">
        <v>15</v>
      </c>
      <c r="T45">
        <f t="shared" si="1"/>
        <v>225</v>
      </c>
      <c r="AF45">
        <v>180</v>
      </c>
      <c r="AG45" s="1" t="s">
        <v>160</v>
      </c>
      <c r="AH45">
        <f t="shared" si="0"/>
        <v>1500</v>
      </c>
      <c r="AI45">
        <v>10</v>
      </c>
      <c r="AJ45">
        <v>150</v>
      </c>
      <c r="AP45" t="s">
        <v>65</v>
      </c>
      <c r="AQ45">
        <v>12335</v>
      </c>
      <c r="AR45" s="1" t="s">
        <v>71</v>
      </c>
      <c r="AS45" s="3">
        <v>45409</v>
      </c>
      <c r="AT45" s="1" t="s">
        <v>72</v>
      </c>
      <c r="AU45" t="s">
        <v>72</v>
      </c>
      <c r="AW45" t="s">
        <v>72</v>
      </c>
      <c r="AX45" t="s">
        <v>72</v>
      </c>
      <c r="AY45" t="s">
        <v>73</v>
      </c>
      <c r="AZ45" s="15" t="s">
        <v>64</v>
      </c>
      <c r="BI45" s="16" t="s">
        <v>74</v>
      </c>
    </row>
    <row r="46" spans="1:61" x14ac:dyDescent="0.25">
      <c r="A46" s="1" t="s">
        <v>161</v>
      </c>
      <c r="B46" t="s">
        <v>162</v>
      </c>
      <c r="C46" s="9" t="s">
        <v>64</v>
      </c>
      <c r="D46" t="b">
        <v>0</v>
      </c>
      <c r="G46" s="21">
        <v>45409</v>
      </c>
      <c r="H46" s="21">
        <v>45409</v>
      </c>
      <c r="I46" s="1" t="s">
        <v>64</v>
      </c>
      <c r="J46" s="1" t="s">
        <v>65</v>
      </c>
      <c r="K46">
        <v>62</v>
      </c>
      <c r="L46" s="1" t="s">
        <v>163</v>
      </c>
      <c r="M46" s="21">
        <v>45777</v>
      </c>
      <c r="N46" s="1" t="s">
        <v>64</v>
      </c>
      <c r="O46" t="s">
        <v>68</v>
      </c>
      <c r="P46" t="s">
        <v>104</v>
      </c>
      <c r="Q46">
        <v>0</v>
      </c>
      <c r="R46">
        <v>900</v>
      </c>
      <c r="S46">
        <v>15</v>
      </c>
      <c r="T46">
        <f t="shared" si="1"/>
        <v>135</v>
      </c>
      <c r="AC46">
        <v>32.4</v>
      </c>
      <c r="AG46" s="1" t="s">
        <v>96</v>
      </c>
      <c r="AH46">
        <f t="shared" si="0"/>
        <v>900</v>
      </c>
      <c r="AI46">
        <v>1.75</v>
      </c>
      <c r="AJ46">
        <f>ROUND(AH46*AI46/100,2)</f>
        <v>15.75</v>
      </c>
      <c r="AP46" t="s">
        <v>65</v>
      </c>
      <c r="AQ46">
        <v>12370</v>
      </c>
      <c r="AR46" s="1" t="s">
        <v>71</v>
      </c>
      <c r="AS46" s="3">
        <v>45409</v>
      </c>
      <c r="AT46" s="1" t="s">
        <v>72</v>
      </c>
      <c r="AU46" t="s">
        <v>72</v>
      </c>
      <c r="AW46" t="s">
        <v>72</v>
      </c>
      <c r="AX46" t="s">
        <v>72</v>
      </c>
      <c r="AY46" t="s">
        <v>73</v>
      </c>
      <c r="AZ46" s="15" t="s">
        <v>64</v>
      </c>
      <c r="BI46" s="16" t="s">
        <v>74</v>
      </c>
    </row>
    <row r="47" spans="1:61" x14ac:dyDescent="0.25">
      <c r="A47" s="1" t="s">
        <v>164</v>
      </c>
      <c r="B47" t="s">
        <v>165</v>
      </c>
      <c r="C47" s="9" t="s">
        <v>64</v>
      </c>
      <c r="D47" t="b">
        <v>0</v>
      </c>
      <c r="G47" s="21">
        <v>45409</v>
      </c>
      <c r="H47" s="21">
        <v>45409</v>
      </c>
      <c r="I47" s="1" t="s">
        <v>64</v>
      </c>
      <c r="J47" s="1" t="s">
        <v>65</v>
      </c>
      <c r="K47">
        <v>128</v>
      </c>
      <c r="L47" s="1" t="s">
        <v>166</v>
      </c>
      <c r="M47" s="21">
        <v>45769</v>
      </c>
      <c r="N47" s="1" t="s">
        <v>64</v>
      </c>
      <c r="O47" t="s">
        <v>68</v>
      </c>
      <c r="P47" t="s">
        <v>104</v>
      </c>
      <c r="Q47">
        <v>0</v>
      </c>
      <c r="R47">
        <v>839.85</v>
      </c>
      <c r="S47">
        <v>15</v>
      </c>
      <c r="T47">
        <f t="shared" si="1"/>
        <v>125.98</v>
      </c>
      <c r="AC47">
        <v>30.23</v>
      </c>
      <c r="AG47" s="1" t="s">
        <v>96</v>
      </c>
      <c r="AH47">
        <f t="shared" si="0"/>
        <v>839.85</v>
      </c>
      <c r="AI47">
        <v>1.75</v>
      </c>
      <c r="AJ47">
        <f>ROUND(AH47*AI47/100,2)</f>
        <v>14.7</v>
      </c>
      <c r="AP47" t="s">
        <v>65</v>
      </c>
      <c r="AQ47">
        <v>12371</v>
      </c>
      <c r="AR47" s="1" t="s">
        <v>71</v>
      </c>
      <c r="AS47" s="3">
        <v>45409</v>
      </c>
      <c r="AT47" s="1" t="s">
        <v>72</v>
      </c>
      <c r="AU47" t="s">
        <v>72</v>
      </c>
      <c r="AW47" t="s">
        <v>72</v>
      </c>
      <c r="AX47" t="s">
        <v>72</v>
      </c>
      <c r="AY47" t="s">
        <v>73</v>
      </c>
      <c r="AZ47" s="15" t="s">
        <v>64</v>
      </c>
      <c r="BI47" s="1" t="s">
        <v>74</v>
      </c>
    </row>
    <row r="48" spans="1:61" x14ac:dyDescent="0.25">
      <c r="A48" s="1" t="s">
        <v>164</v>
      </c>
      <c r="B48" t="s">
        <v>165</v>
      </c>
      <c r="C48" s="9" t="s">
        <v>64</v>
      </c>
      <c r="D48" t="b">
        <v>0</v>
      </c>
      <c r="G48" s="21">
        <v>45409</v>
      </c>
      <c r="H48" s="21">
        <v>45409</v>
      </c>
      <c r="I48" s="1" t="s">
        <v>64</v>
      </c>
      <c r="J48" s="1" t="s">
        <v>65</v>
      </c>
      <c r="K48">
        <v>129</v>
      </c>
      <c r="L48" s="1" t="s">
        <v>166</v>
      </c>
      <c r="M48" s="21">
        <v>45769</v>
      </c>
      <c r="N48" s="1" t="s">
        <v>64</v>
      </c>
      <c r="O48" t="s">
        <v>78</v>
      </c>
      <c r="P48" t="s">
        <v>104</v>
      </c>
      <c r="Q48">
        <v>1846</v>
      </c>
      <c r="R48">
        <v>0</v>
      </c>
      <c r="S48">
        <v>15</v>
      </c>
      <c r="T48">
        <f t="shared" si="1"/>
        <v>0</v>
      </c>
      <c r="AG48" s="1" t="s">
        <v>96</v>
      </c>
      <c r="AH48">
        <f t="shared" si="0"/>
        <v>1846</v>
      </c>
      <c r="AI48">
        <v>1.75</v>
      </c>
      <c r="AJ48">
        <f>ROUND(AH48*AI48/100,2)</f>
        <v>32.31</v>
      </c>
      <c r="AP48" t="s">
        <v>65</v>
      </c>
      <c r="AQ48">
        <v>12372</v>
      </c>
      <c r="AR48" s="1" t="s">
        <v>71</v>
      </c>
      <c r="AS48" s="3">
        <v>45409</v>
      </c>
      <c r="AT48" s="1" t="s">
        <v>72</v>
      </c>
      <c r="AU48" t="s">
        <v>72</v>
      </c>
      <c r="AW48" t="s">
        <v>72</v>
      </c>
      <c r="AX48" t="s">
        <v>72</v>
      </c>
      <c r="AY48" t="s">
        <v>73</v>
      </c>
      <c r="AZ48" s="15" t="s">
        <v>64</v>
      </c>
      <c r="BI48" s="16" t="s">
        <v>74</v>
      </c>
    </row>
    <row r="49" spans="1:61" x14ac:dyDescent="0.25">
      <c r="A49" s="1" t="s">
        <v>167</v>
      </c>
      <c r="B49" t="s">
        <v>168</v>
      </c>
      <c r="C49" s="9" t="s">
        <v>64</v>
      </c>
      <c r="D49" t="b">
        <v>0</v>
      </c>
      <c r="G49" s="21">
        <v>45410</v>
      </c>
      <c r="H49" s="21">
        <v>45410</v>
      </c>
      <c r="I49" s="1" t="s">
        <v>64</v>
      </c>
      <c r="J49" s="1" t="s">
        <v>65</v>
      </c>
      <c r="K49">
        <v>672</v>
      </c>
      <c r="L49" s="1" t="s">
        <v>169</v>
      </c>
      <c r="M49" s="21">
        <v>45697</v>
      </c>
      <c r="N49" s="1" t="s">
        <v>64</v>
      </c>
      <c r="O49" t="s">
        <v>68</v>
      </c>
      <c r="P49" s="5" t="s">
        <v>79</v>
      </c>
      <c r="Q49">
        <v>0</v>
      </c>
      <c r="R49">
        <v>1500</v>
      </c>
      <c r="S49">
        <v>15</v>
      </c>
      <c r="T49">
        <f t="shared" si="1"/>
        <v>225</v>
      </c>
      <c r="AE49">
        <v>126</v>
      </c>
      <c r="AG49" s="1" t="s">
        <v>80</v>
      </c>
      <c r="AH49">
        <f t="shared" si="0"/>
        <v>1500</v>
      </c>
      <c r="AI49">
        <v>2</v>
      </c>
      <c r="AJ49">
        <v>30</v>
      </c>
      <c r="AP49" t="s">
        <v>65</v>
      </c>
      <c r="AQ49">
        <v>12373</v>
      </c>
      <c r="AR49" s="1" t="s">
        <v>71</v>
      </c>
      <c r="AS49" s="3">
        <v>45410</v>
      </c>
      <c r="AT49" s="1" t="s">
        <v>72</v>
      </c>
      <c r="AU49" t="s">
        <v>72</v>
      </c>
      <c r="AW49" t="s">
        <v>72</v>
      </c>
      <c r="AX49" t="s">
        <v>72</v>
      </c>
      <c r="AY49" t="s">
        <v>73</v>
      </c>
      <c r="AZ49" s="15" t="s">
        <v>64</v>
      </c>
      <c r="BI49" s="16" t="s">
        <v>74</v>
      </c>
    </row>
    <row r="50" spans="1:61" x14ac:dyDescent="0.25">
      <c r="A50" s="1" t="s">
        <v>170</v>
      </c>
      <c r="B50" t="s">
        <v>171</v>
      </c>
      <c r="C50" s="9" t="s">
        <v>64</v>
      </c>
      <c r="D50" t="b">
        <v>0</v>
      </c>
      <c r="G50" s="21">
        <v>45410</v>
      </c>
      <c r="H50" s="21">
        <v>45410</v>
      </c>
      <c r="I50" s="1" t="s">
        <v>64</v>
      </c>
      <c r="J50" s="1" t="s">
        <v>65</v>
      </c>
      <c r="K50">
        <v>305</v>
      </c>
      <c r="L50" s="1" t="s">
        <v>172</v>
      </c>
      <c r="M50" s="21">
        <v>45644</v>
      </c>
      <c r="N50" s="1" t="s">
        <v>64</v>
      </c>
      <c r="O50" s="5" t="s">
        <v>78</v>
      </c>
      <c r="P50" t="s">
        <v>79</v>
      </c>
      <c r="Q50">
        <v>0</v>
      </c>
      <c r="R50">
        <v>880</v>
      </c>
      <c r="S50">
        <v>15</v>
      </c>
      <c r="T50">
        <f t="shared" si="1"/>
        <v>132</v>
      </c>
      <c r="AF50">
        <v>105.6</v>
      </c>
      <c r="AG50" s="1" t="s">
        <v>160</v>
      </c>
      <c r="AH50">
        <f t="shared" si="0"/>
        <v>880</v>
      </c>
      <c r="AI50">
        <v>10</v>
      </c>
      <c r="AJ50">
        <v>88</v>
      </c>
      <c r="AP50" t="s">
        <v>65</v>
      </c>
      <c r="AQ50">
        <v>12374</v>
      </c>
      <c r="AR50" s="1" t="s">
        <v>71</v>
      </c>
      <c r="AS50" s="3">
        <v>45410</v>
      </c>
      <c r="AT50" s="1" t="s">
        <v>72</v>
      </c>
      <c r="AU50" t="s">
        <v>72</v>
      </c>
      <c r="AW50" t="s">
        <v>72</v>
      </c>
      <c r="AX50" t="s">
        <v>72</v>
      </c>
      <c r="AY50" t="s">
        <v>73</v>
      </c>
      <c r="AZ50" s="15" t="s">
        <v>64</v>
      </c>
      <c r="BI50" s="16" t="s">
        <v>74</v>
      </c>
    </row>
    <row r="51" spans="1:61" x14ac:dyDescent="0.25">
      <c r="A51" s="1" t="s">
        <v>167</v>
      </c>
      <c r="B51" t="s">
        <v>168</v>
      </c>
      <c r="C51" s="9" t="s">
        <v>64</v>
      </c>
      <c r="D51" t="b">
        <v>0</v>
      </c>
      <c r="G51" s="21">
        <v>45410</v>
      </c>
      <c r="H51" s="21">
        <v>45410</v>
      </c>
      <c r="I51" s="1" t="s">
        <v>64</v>
      </c>
      <c r="J51" s="1" t="s">
        <v>65</v>
      </c>
      <c r="K51">
        <v>673</v>
      </c>
      <c r="L51" s="15" t="s">
        <v>173</v>
      </c>
      <c r="M51" s="21">
        <v>45697</v>
      </c>
      <c r="N51" s="1" t="s">
        <v>64</v>
      </c>
      <c r="O51" s="5" t="s">
        <v>78</v>
      </c>
      <c r="P51" s="5" t="s">
        <v>79</v>
      </c>
      <c r="Q51">
        <v>0</v>
      </c>
      <c r="R51">
        <v>0</v>
      </c>
      <c r="S51">
        <v>15</v>
      </c>
      <c r="T51">
        <f t="shared" si="1"/>
        <v>0</v>
      </c>
      <c r="AG51" s="1" t="s">
        <v>174</v>
      </c>
      <c r="AH51">
        <v>300</v>
      </c>
      <c r="AI51">
        <v>1</v>
      </c>
      <c r="AJ51">
        <v>3</v>
      </c>
      <c r="AK51" s="17">
        <v>45292</v>
      </c>
      <c r="AL51">
        <v>2000</v>
      </c>
      <c r="AM51">
        <v>2015</v>
      </c>
      <c r="AP51" t="s">
        <v>65</v>
      </c>
      <c r="AQ51">
        <v>12373</v>
      </c>
      <c r="AR51" s="1" t="s">
        <v>71</v>
      </c>
      <c r="AS51" s="3">
        <v>45410</v>
      </c>
      <c r="AT51" s="1" t="s">
        <v>72</v>
      </c>
      <c r="AU51" t="s">
        <v>72</v>
      </c>
      <c r="AW51" t="s">
        <v>72</v>
      </c>
      <c r="AX51" t="s">
        <v>72</v>
      </c>
      <c r="AY51" t="s">
        <v>73</v>
      </c>
      <c r="AZ51" s="15" t="s">
        <v>64</v>
      </c>
      <c r="BI51" s="16" t="s">
        <v>74</v>
      </c>
    </row>
    <row r="52" spans="1:61" x14ac:dyDescent="0.25">
      <c r="A52" s="1" t="s">
        <v>175</v>
      </c>
      <c r="B52" t="s">
        <v>176</v>
      </c>
      <c r="C52" s="9" t="s">
        <v>64</v>
      </c>
      <c r="D52" t="b">
        <v>0</v>
      </c>
      <c r="G52" s="21">
        <v>45387</v>
      </c>
      <c r="H52" s="21">
        <v>45387</v>
      </c>
      <c r="I52" s="1" t="s">
        <v>64</v>
      </c>
      <c r="J52" s="1" t="s">
        <v>177</v>
      </c>
      <c r="K52">
        <v>8508485</v>
      </c>
      <c r="L52" s="1" t="s">
        <v>178</v>
      </c>
      <c r="M52" s="21">
        <v>45560</v>
      </c>
      <c r="N52" s="1" t="s">
        <v>64</v>
      </c>
      <c r="O52" t="s">
        <v>78</v>
      </c>
      <c r="P52" t="s">
        <v>179</v>
      </c>
      <c r="Q52">
        <v>38.29</v>
      </c>
      <c r="R52">
        <v>0</v>
      </c>
      <c r="S52">
        <v>15</v>
      </c>
      <c r="T52">
        <f t="shared" si="1"/>
        <v>0</v>
      </c>
      <c r="AG52" s="15" t="s">
        <v>85</v>
      </c>
      <c r="AH52">
        <f t="shared" si="0"/>
        <v>38.29</v>
      </c>
      <c r="AI52">
        <v>0</v>
      </c>
      <c r="AJ52">
        <v>0</v>
      </c>
      <c r="AP52" t="s">
        <v>72</v>
      </c>
      <c r="AR52" s="1" t="s">
        <v>72</v>
      </c>
      <c r="AT52" s="1" t="s">
        <v>72</v>
      </c>
      <c r="AU52" t="s">
        <v>72</v>
      </c>
      <c r="AW52" t="s">
        <v>72</v>
      </c>
      <c r="AX52" t="s">
        <v>72</v>
      </c>
      <c r="AY52" t="s">
        <v>73</v>
      </c>
      <c r="AZ52" s="15" t="s">
        <v>64</v>
      </c>
    </row>
    <row r="53" spans="1:61" x14ac:dyDescent="0.25">
      <c r="A53" s="1" t="s">
        <v>175</v>
      </c>
      <c r="B53" t="s">
        <v>180</v>
      </c>
      <c r="C53" s="9" t="s">
        <v>64</v>
      </c>
      <c r="D53" t="b">
        <v>0</v>
      </c>
      <c r="G53" s="21">
        <v>45387</v>
      </c>
      <c r="H53" s="21">
        <v>45387</v>
      </c>
      <c r="I53" s="1" t="s">
        <v>64</v>
      </c>
      <c r="J53" s="1" t="s">
        <v>177</v>
      </c>
      <c r="K53">
        <v>1035226</v>
      </c>
      <c r="L53" s="1" t="s">
        <v>178</v>
      </c>
      <c r="M53" s="21">
        <v>45560</v>
      </c>
      <c r="N53" s="1" t="s">
        <v>64</v>
      </c>
      <c r="O53" t="s">
        <v>78</v>
      </c>
      <c r="P53" t="s">
        <v>181</v>
      </c>
      <c r="Q53">
        <v>35.590000000000003</v>
      </c>
      <c r="R53">
        <v>0</v>
      </c>
      <c r="S53">
        <v>15</v>
      </c>
      <c r="T53">
        <f t="shared" si="1"/>
        <v>0</v>
      </c>
      <c r="AG53" s="15" t="s">
        <v>85</v>
      </c>
      <c r="AH53">
        <f t="shared" si="0"/>
        <v>35.590000000000003</v>
      </c>
      <c r="AI53">
        <v>0</v>
      </c>
      <c r="AJ53">
        <v>0</v>
      </c>
      <c r="AP53" t="s">
        <v>72</v>
      </c>
      <c r="AR53" s="1" t="s">
        <v>72</v>
      </c>
      <c r="AT53" s="1" t="s">
        <v>72</v>
      </c>
      <c r="AU53" t="s">
        <v>72</v>
      </c>
      <c r="AW53" t="s">
        <v>72</v>
      </c>
      <c r="AX53" t="s">
        <v>72</v>
      </c>
      <c r="AY53" t="s">
        <v>73</v>
      </c>
      <c r="AZ53" s="15" t="s">
        <v>64</v>
      </c>
    </row>
    <row r="54" spans="1:61" x14ac:dyDescent="0.25">
      <c r="A54" s="1" t="s">
        <v>175</v>
      </c>
      <c r="B54" t="s">
        <v>180</v>
      </c>
      <c r="C54" s="9" t="s">
        <v>64</v>
      </c>
      <c r="D54" t="b">
        <v>0</v>
      </c>
      <c r="G54" s="21">
        <v>45387</v>
      </c>
      <c r="H54" s="21">
        <v>45387</v>
      </c>
      <c r="I54" s="1" t="s">
        <v>64</v>
      </c>
      <c r="J54" s="1" t="s">
        <v>177</v>
      </c>
      <c r="K54">
        <v>1035330</v>
      </c>
      <c r="L54" s="1" t="s">
        <v>178</v>
      </c>
      <c r="M54" s="21">
        <v>45560</v>
      </c>
      <c r="N54" s="1" t="s">
        <v>64</v>
      </c>
      <c r="O54" t="s">
        <v>78</v>
      </c>
      <c r="P54" t="s">
        <v>181</v>
      </c>
      <c r="Q54">
        <v>15.35</v>
      </c>
      <c r="R54">
        <v>0</v>
      </c>
      <c r="S54">
        <v>15</v>
      </c>
      <c r="T54">
        <f t="shared" si="1"/>
        <v>0</v>
      </c>
      <c r="AG54" s="15" t="s">
        <v>85</v>
      </c>
      <c r="AH54">
        <f t="shared" si="0"/>
        <v>15.35</v>
      </c>
      <c r="AI54">
        <v>0</v>
      </c>
      <c r="AJ54">
        <v>0</v>
      </c>
      <c r="AP54" t="s">
        <v>72</v>
      </c>
      <c r="AR54" s="1" t="s">
        <v>72</v>
      </c>
      <c r="AT54" s="1" t="s">
        <v>72</v>
      </c>
      <c r="AU54" t="s">
        <v>72</v>
      </c>
      <c r="AW54" t="s">
        <v>72</v>
      </c>
      <c r="AX54" t="s">
        <v>72</v>
      </c>
      <c r="AY54" t="s">
        <v>73</v>
      </c>
      <c r="AZ54" s="15" t="s">
        <v>64</v>
      </c>
    </row>
    <row r="55" spans="1:61" x14ac:dyDescent="0.25">
      <c r="A55" s="1" t="s">
        <v>175</v>
      </c>
      <c r="B55" t="s">
        <v>180</v>
      </c>
      <c r="C55" s="9" t="s">
        <v>64</v>
      </c>
      <c r="D55" t="b">
        <v>0</v>
      </c>
      <c r="G55" s="21">
        <v>45387</v>
      </c>
      <c r="H55" s="21">
        <v>45387</v>
      </c>
      <c r="I55" s="1" t="s">
        <v>64</v>
      </c>
      <c r="J55" s="1" t="s">
        <v>177</v>
      </c>
      <c r="K55">
        <v>1035381</v>
      </c>
      <c r="L55" s="1" t="s">
        <v>178</v>
      </c>
      <c r="M55" s="21">
        <v>45560</v>
      </c>
      <c r="N55" s="1" t="s">
        <v>64</v>
      </c>
      <c r="O55" t="s">
        <v>78</v>
      </c>
      <c r="P55" t="s">
        <v>181</v>
      </c>
      <c r="Q55">
        <v>36.18</v>
      </c>
      <c r="R55">
        <v>0</v>
      </c>
      <c r="S55">
        <v>15</v>
      </c>
      <c r="T55">
        <f t="shared" si="1"/>
        <v>0</v>
      </c>
      <c r="AG55" s="15" t="s">
        <v>85</v>
      </c>
      <c r="AH55">
        <f t="shared" si="0"/>
        <v>36.18</v>
      </c>
      <c r="AI55">
        <v>0</v>
      </c>
      <c r="AJ55">
        <v>0</v>
      </c>
      <c r="AP55" t="s">
        <v>72</v>
      </c>
      <c r="AR55" s="1" t="s">
        <v>72</v>
      </c>
      <c r="AT55" s="1" t="s">
        <v>72</v>
      </c>
      <c r="AU55" t="s">
        <v>72</v>
      </c>
      <c r="AW55" t="s">
        <v>72</v>
      </c>
      <c r="AX55" t="s">
        <v>72</v>
      </c>
      <c r="AY55" t="s">
        <v>73</v>
      </c>
      <c r="AZ55" s="15" t="s">
        <v>64</v>
      </c>
    </row>
    <row r="56" spans="1:61" x14ac:dyDescent="0.25">
      <c r="A56" s="1" t="s">
        <v>175</v>
      </c>
      <c r="B56" t="s">
        <v>180</v>
      </c>
      <c r="C56" s="9" t="s">
        <v>64</v>
      </c>
      <c r="D56" t="b">
        <v>0</v>
      </c>
      <c r="G56" s="21">
        <v>45387</v>
      </c>
      <c r="H56" s="21">
        <v>45387</v>
      </c>
      <c r="I56" s="1" t="s">
        <v>64</v>
      </c>
      <c r="J56" s="1" t="s">
        <v>177</v>
      </c>
      <c r="K56">
        <v>1035852</v>
      </c>
      <c r="L56" s="1" t="s">
        <v>178</v>
      </c>
      <c r="M56" s="21">
        <v>45560</v>
      </c>
      <c r="N56" s="1" t="s">
        <v>64</v>
      </c>
      <c r="O56" t="s">
        <v>78</v>
      </c>
      <c r="P56" t="s">
        <v>181</v>
      </c>
      <c r="Q56">
        <v>191.27</v>
      </c>
      <c r="R56">
        <v>0</v>
      </c>
      <c r="S56">
        <v>15</v>
      </c>
      <c r="T56">
        <f t="shared" si="1"/>
        <v>0</v>
      </c>
      <c r="AG56" s="15" t="s">
        <v>85</v>
      </c>
      <c r="AH56">
        <f t="shared" si="0"/>
        <v>191.27</v>
      </c>
      <c r="AI56">
        <v>0</v>
      </c>
      <c r="AJ56">
        <v>0</v>
      </c>
      <c r="AP56" t="s">
        <v>72</v>
      </c>
      <c r="AR56" s="1" t="s">
        <v>72</v>
      </c>
      <c r="AT56" s="1" t="s">
        <v>72</v>
      </c>
      <c r="AU56" t="s">
        <v>72</v>
      </c>
      <c r="AW56" t="s">
        <v>72</v>
      </c>
      <c r="AX56" t="s">
        <v>72</v>
      </c>
      <c r="AY56" t="s">
        <v>73</v>
      </c>
      <c r="AZ56" s="15" t="s">
        <v>64</v>
      </c>
    </row>
    <row r="57" spans="1:61" x14ac:dyDescent="0.25">
      <c r="A57" s="1" t="s">
        <v>175</v>
      </c>
      <c r="B57" t="s">
        <v>180</v>
      </c>
      <c r="C57" s="9" t="s">
        <v>64</v>
      </c>
      <c r="D57" t="b">
        <v>0</v>
      </c>
      <c r="G57" s="21">
        <v>45387</v>
      </c>
      <c r="H57" s="21">
        <v>45387</v>
      </c>
      <c r="I57" s="1" t="s">
        <v>64</v>
      </c>
      <c r="J57" s="1" t="s">
        <v>177</v>
      </c>
      <c r="K57">
        <v>1035867</v>
      </c>
      <c r="L57" s="1" t="s">
        <v>178</v>
      </c>
      <c r="M57" s="21">
        <v>45560</v>
      </c>
      <c r="N57" s="1" t="s">
        <v>64</v>
      </c>
      <c r="O57" t="s">
        <v>78</v>
      </c>
      <c r="P57" t="s">
        <v>181</v>
      </c>
      <c r="Q57">
        <v>22.78</v>
      </c>
      <c r="R57">
        <v>0</v>
      </c>
      <c r="S57">
        <v>15</v>
      </c>
      <c r="T57">
        <f t="shared" si="1"/>
        <v>0</v>
      </c>
      <c r="AG57" s="15" t="s">
        <v>85</v>
      </c>
      <c r="AH57">
        <f t="shared" si="0"/>
        <v>22.78</v>
      </c>
      <c r="AI57">
        <v>0</v>
      </c>
      <c r="AJ57">
        <v>0</v>
      </c>
      <c r="AP57" t="s">
        <v>72</v>
      </c>
      <c r="AR57" s="1" t="s">
        <v>72</v>
      </c>
      <c r="AT57" s="1" t="s">
        <v>72</v>
      </c>
      <c r="AU57" t="s">
        <v>72</v>
      </c>
      <c r="AW57" t="s">
        <v>72</v>
      </c>
      <c r="AX57" t="s">
        <v>72</v>
      </c>
      <c r="AY57" t="s">
        <v>73</v>
      </c>
      <c r="AZ57" s="15" t="s">
        <v>64</v>
      </c>
    </row>
    <row r="58" spans="1:61" x14ac:dyDescent="0.25">
      <c r="A58" s="1" t="s">
        <v>175</v>
      </c>
      <c r="B58" t="s">
        <v>180</v>
      </c>
      <c r="C58" s="9" t="s">
        <v>64</v>
      </c>
      <c r="D58" t="b">
        <v>0</v>
      </c>
      <c r="G58" s="21">
        <v>45387</v>
      </c>
      <c r="H58" s="21">
        <v>45387</v>
      </c>
      <c r="I58" s="1" t="s">
        <v>64</v>
      </c>
      <c r="J58" s="1" t="s">
        <v>177</v>
      </c>
      <c r="K58">
        <v>1035964</v>
      </c>
      <c r="L58" s="1" t="s">
        <v>178</v>
      </c>
      <c r="M58" s="21">
        <v>45560</v>
      </c>
      <c r="N58" s="1" t="s">
        <v>64</v>
      </c>
      <c r="O58" t="s">
        <v>78</v>
      </c>
      <c r="P58" t="s">
        <v>181</v>
      </c>
      <c r="Q58">
        <v>2.15</v>
      </c>
      <c r="R58">
        <v>0</v>
      </c>
      <c r="S58">
        <v>15</v>
      </c>
      <c r="T58">
        <f t="shared" si="1"/>
        <v>0</v>
      </c>
      <c r="AG58" s="15" t="s">
        <v>85</v>
      </c>
      <c r="AH58">
        <f t="shared" si="0"/>
        <v>2.15</v>
      </c>
      <c r="AI58">
        <v>0</v>
      </c>
      <c r="AJ58">
        <v>0</v>
      </c>
      <c r="AP58" t="s">
        <v>72</v>
      </c>
      <c r="AR58" s="1" t="s">
        <v>72</v>
      </c>
      <c r="AT58" s="1" t="s">
        <v>72</v>
      </c>
      <c r="AU58" t="s">
        <v>72</v>
      </c>
      <c r="AW58" t="s">
        <v>72</v>
      </c>
      <c r="AX58" t="s">
        <v>72</v>
      </c>
      <c r="AY58" t="s">
        <v>73</v>
      </c>
      <c r="AZ58" s="15" t="s">
        <v>64</v>
      </c>
    </row>
    <row r="59" spans="1:61" x14ac:dyDescent="0.25">
      <c r="A59" s="1" t="s">
        <v>175</v>
      </c>
      <c r="B59" t="s">
        <v>180</v>
      </c>
      <c r="C59" s="9" t="s">
        <v>64</v>
      </c>
      <c r="D59" t="b">
        <v>0</v>
      </c>
      <c r="G59" s="21">
        <v>45387</v>
      </c>
      <c r="H59" s="21">
        <v>45387</v>
      </c>
      <c r="I59" s="1" t="s">
        <v>64</v>
      </c>
      <c r="J59" s="1" t="s">
        <v>177</v>
      </c>
      <c r="K59">
        <v>1036019</v>
      </c>
      <c r="L59" s="1" t="s">
        <v>178</v>
      </c>
      <c r="M59" s="21">
        <v>45560</v>
      </c>
      <c r="N59" s="1" t="s">
        <v>64</v>
      </c>
      <c r="O59" t="s">
        <v>78</v>
      </c>
      <c r="P59" t="s">
        <v>181</v>
      </c>
      <c r="Q59">
        <v>69.650000000000006</v>
      </c>
      <c r="R59">
        <v>0</v>
      </c>
      <c r="S59">
        <v>15</v>
      </c>
      <c r="T59">
        <f t="shared" si="1"/>
        <v>0</v>
      </c>
      <c r="AG59" s="15" t="s">
        <v>85</v>
      </c>
      <c r="AH59">
        <f t="shared" si="0"/>
        <v>69.650000000000006</v>
      </c>
      <c r="AI59">
        <v>0</v>
      </c>
      <c r="AJ59">
        <v>0</v>
      </c>
      <c r="AP59" t="s">
        <v>72</v>
      </c>
      <c r="AR59" s="1" t="s">
        <v>72</v>
      </c>
      <c r="AT59" s="1" t="s">
        <v>72</v>
      </c>
      <c r="AU59" t="s">
        <v>72</v>
      </c>
      <c r="AW59" t="s">
        <v>72</v>
      </c>
      <c r="AX59" t="s">
        <v>72</v>
      </c>
      <c r="AY59" t="s">
        <v>73</v>
      </c>
      <c r="AZ59" s="15" t="s">
        <v>64</v>
      </c>
    </row>
    <row r="60" spans="1:61" x14ac:dyDescent="0.25">
      <c r="A60" s="1" t="s">
        <v>175</v>
      </c>
      <c r="B60" t="s">
        <v>180</v>
      </c>
      <c r="C60" s="9" t="s">
        <v>64</v>
      </c>
      <c r="D60" t="b">
        <v>0</v>
      </c>
      <c r="G60" s="21">
        <v>45387</v>
      </c>
      <c r="H60" s="21">
        <v>45387</v>
      </c>
      <c r="I60" s="1" t="s">
        <v>64</v>
      </c>
      <c r="J60" s="1" t="s">
        <v>177</v>
      </c>
      <c r="K60">
        <v>1036173</v>
      </c>
      <c r="L60" s="1" t="s">
        <v>178</v>
      </c>
      <c r="M60" s="21">
        <v>45560</v>
      </c>
      <c r="N60" s="1" t="s">
        <v>64</v>
      </c>
      <c r="O60" t="s">
        <v>78</v>
      </c>
      <c r="P60" t="s">
        <v>181</v>
      </c>
      <c r="Q60">
        <v>156.4</v>
      </c>
      <c r="R60">
        <v>0</v>
      </c>
      <c r="S60">
        <v>15</v>
      </c>
      <c r="T60">
        <f t="shared" si="1"/>
        <v>0</v>
      </c>
      <c r="AG60" s="15" t="s">
        <v>85</v>
      </c>
      <c r="AH60">
        <f t="shared" si="0"/>
        <v>156.4</v>
      </c>
      <c r="AI60">
        <v>0</v>
      </c>
      <c r="AJ60">
        <v>0</v>
      </c>
      <c r="AP60" t="s">
        <v>72</v>
      </c>
      <c r="AR60" s="1" t="s">
        <v>72</v>
      </c>
      <c r="AT60" s="1" t="s">
        <v>72</v>
      </c>
      <c r="AU60" t="s">
        <v>72</v>
      </c>
      <c r="AW60" t="s">
        <v>72</v>
      </c>
      <c r="AX60" t="s">
        <v>72</v>
      </c>
      <c r="AY60" t="s">
        <v>73</v>
      </c>
      <c r="AZ60" s="15" t="s">
        <v>64</v>
      </c>
    </row>
    <row r="61" spans="1:61" x14ac:dyDescent="0.25">
      <c r="A61" s="1" t="s">
        <v>175</v>
      </c>
      <c r="B61" t="s">
        <v>180</v>
      </c>
      <c r="C61" s="9" t="s">
        <v>64</v>
      </c>
      <c r="D61" t="b">
        <v>0</v>
      </c>
      <c r="G61" s="21">
        <v>45387</v>
      </c>
      <c r="H61" s="21">
        <v>45387</v>
      </c>
      <c r="I61" s="1" t="s">
        <v>64</v>
      </c>
      <c r="J61" s="1" t="s">
        <v>177</v>
      </c>
      <c r="K61">
        <v>1036183</v>
      </c>
      <c r="L61" s="1" t="s">
        <v>178</v>
      </c>
      <c r="M61" s="21">
        <v>45560</v>
      </c>
      <c r="N61" s="1" t="s">
        <v>64</v>
      </c>
      <c r="O61" t="s">
        <v>78</v>
      </c>
      <c r="P61" t="s">
        <v>181</v>
      </c>
      <c r="Q61">
        <v>1.41</v>
      </c>
      <c r="R61">
        <v>0</v>
      </c>
      <c r="S61">
        <v>15</v>
      </c>
      <c r="T61">
        <f t="shared" si="1"/>
        <v>0</v>
      </c>
      <c r="AG61" s="15" t="s">
        <v>85</v>
      </c>
      <c r="AH61">
        <f t="shared" si="0"/>
        <v>1.41</v>
      </c>
      <c r="AI61">
        <v>0</v>
      </c>
      <c r="AJ61">
        <v>0</v>
      </c>
      <c r="AP61" t="s">
        <v>72</v>
      </c>
      <c r="AR61" s="1" t="s">
        <v>72</v>
      </c>
      <c r="AT61" s="1" t="s">
        <v>72</v>
      </c>
      <c r="AU61" t="s">
        <v>72</v>
      </c>
      <c r="AW61" t="s">
        <v>72</v>
      </c>
      <c r="AX61" t="s">
        <v>72</v>
      </c>
      <c r="AY61" t="s">
        <v>73</v>
      </c>
      <c r="AZ61" s="15" t="s">
        <v>64</v>
      </c>
    </row>
    <row r="62" spans="1:61" x14ac:dyDescent="0.25">
      <c r="A62" s="1" t="s">
        <v>175</v>
      </c>
      <c r="B62" t="s">
        <v>180</v>
      </c>
      <c r="C62" s="9" t="s">
        <v>64</v>
      </c>
      <c r="D62" t="b">
        <v>0</v>
      </c>
      <c r="G62" s="21">
        <v>45387</v>
      </c>
      <c r="H62" s="21">
        <v>45387</v>
      </c>
      <c r="I62" s="1" t="s">
        <v>64</v>
      </c>
      <c r="J62" s="1" t="s">
        <v>177</v>
      </c>
      <c r="K62">
        <v>1036318</v>
      </c>
      <c r="L62" s="1" t="s">
        <v>178</v>
      </c>
      <c r="M62" s="21">
        <v>45560</v>
      </c>
      <c r="N62" s="1" t="s">
        <v>64</v>
      </c>
      <c r="O62" t="s">
        <v>78</v>
      </c>
      <c r="P62" t="s">
        <v>181</v>
      </c>
      <c r="Q62">
        <v>151.12</v>
      </c>
      <c r="R62">
        <v>0</v>
      </c>
      <c r="S62">
        <v>15</v>
      </c>
      <c r="T62">
        <f t="shared" si="1"/>
        <v>0</v>
      </c>
      <c r="AG62" s="15" t="s">
        <v>85</v>
      </c>
      <c r="AH62">
        <f t="shared" si="0"/>
        <v>151.12</v>
      </c>
      <c r="AI62">
        <v>0</v>
      </c>
      <c r="AJ62">
        <v>0</v>
      </c>
      <c r="AP62" t="s">
        <v>72</v>
      </c>
      <c r="AR62" s="1" t="s">
        <v>72</v>
      </c>
      <c r="AT62" s="1" t="s">
        <v>72</v>
      </c>
      <c r="AU62" t="s">
        <v>72</v>
      </c>
      <c r="AW62" t="s">
        <v>72</v>
      </c>
      <c r="AX62" t="s">
        <v>72</v>
      </c>
      <c r="AY62" t="s">
        <v>73</v>
      </c>
      <c r="AZ62" s="15" t="s">
        <v>64</v>
      </c>
    </row>
    <row r="63" spans="1:61" x14ac:dyDescent="0.25">
      <c r="A63" s="1" t="s">
        <v>175</v>
      </c>
      <c r="B63" t="s">
        <v>180</v>
      </c>
      <c r="C63" s="9" t="s">
        <v>64</v>
      </c>
      <c r="D63" t="b">
        <v>0</v>
      </c>
      <c r="G63" s="21">
        <v>45387</v>
      </c>
      <c r="H63" s="21">
        <v>45387</v>
      </c>
      <c r="I63" s="1" t="s">
        <v>64</v>
      </c>
      <c r="J63" s="1" t="s">
        <v>177</v>
      </c>
      <c r="K63">
        <v>1036385</v>
      </c>
      <c r="L63" s="1" t="s">
        <v>178</v>
      </c>
      <c r="M63" s="21">
        <v>45560</v>
      </c>
      <c r="N63" s="1" t="s">
        <v>64</v>
      </c>
      <c r="O63" t="s">
        <v>78</v>
      </c>
      <c r="P63" t="s">
        <v>181</v>
      </c>
      <c r="Q63">
        <v>1.41</v>
      </c>
      <c r="R63">
        <v>0</v>
      </c>
      <c r="S63">
        <v>15</v>
      </c>
      <c r="T63">
        <f t="shared" si="1"/>
        <v>0</v>
      </c>
      <c r="AG63" s="15" t="s">
        <v>85</v>
      </c>
      <c r="AH63">
        <f t="shared" si="0"/>
        <v>1.41</v>
      </c>
      <c r="AI63">
        <v>0</v>
      </c>
      <c r="AJ63">
        <v>0</v>
      </c>
      <c r="AP63" t="s">
        <v>72</v>
      </c>
      <c r="AR63" s="1" t="s">
        <v>72</v>
      </c>
      <c r="AT63" s="1" t="s">
        <v>72</v>
      </c>
      <c r="AU63" t="s">
        <v>72</v>
      </c>
      <c r="AW63" t="s">
        <v>72</v>
      </c>
      <c r="AX63" t="s">
        <v>72</v>
      </c>
      <c r="AY63" t="s">
        <v>73</v>
      </c>
      <c r="AZ63" s="15" t="s">
        <v>64</v>
      </c>
    </row>
    <row r="64" spans="1:61" x14ac:dyDescent="0.25">
      <c r="A64" s="1" t="s">
        <v>175</v>
      </c>
      <c r="B64" t="s">
        <v>180</v>
      </c>
      <c r="C64" s="9" t="s">
        <v>64</v>
      </c>
      <c r="D64" t="b">
        <v>0</v>
      </c>
      <c r="G64" s="21">
        <v>45387</v>
      </c>
      <c r="H64" s="21">
        <v>45387</v>
      </c>
      <c r="I64" s="1" t="s">
        <v>64</v>
      </c>
      <c r="J64" s="1" t="s">
        <v>177</v>
      </c>
      <c r="K64">
        <v>1036472</v>
      </c>
      <c r="L64" s="1" t="s">
        <v>178</v>
      </c>
      <c r="M64" s="21">
        <v>45560</v>
      </c>
      <c r="N64" s="1" t="s">
        <v>64</v>
      </c>
      <c r="O64" t="s">
        <v>78</v>
      </c>
      <c r="P64" t="s">
        <v>181</v>
      </c>
      <c r="Q64">
        <v>10.16</v>
      </c>
      <c r="R64">
        <v>0</v>
      </c>
      <c r="S64">
        <v>15</v>
      </c>
      <c r="T64">
        <f t="shared" si="1"/>
        <v>0</v>
      </c>
      <c r="AG64" s="15" t="s">
        <v>85</v>
      </c>
      <c r="AH64">
        <f t="shared" si="0"/>
        <v>10.16</v>
      </c>
      <c r="AI64">
        <v>0</v>
      </c>
      <c r="AJ64">
        <v>0</v>
      </c>
      <c r="AP64" t="s">
        <v>72</v>
      </c>
      <c r="AR64" s="1" t="s">
        <v>72</v>
      </c>
      <c r="AT64" s="1" t="s">
        <v>72</v>
      </c>
      <c r="AU64" t="s">
        <v>72</v>
      </c>
      <c r="AW64" t="s">
        <v>72</v>
      </c>
      <c r="AX64" t="s">
        <v>72</v>
      </c>
      <c r="AY64" t="s">
        <v>73</v>
      </c>
      <c r="AZ64" s="15" t="s">
        <v>64</v>
      </c>
    </row>
    <row r="65" spans="1:61" x14ac:dyDescent="0.25">
      <c r="A65" s="1" t="s">
        <v>175</v>
      </c>
      <c r="B65" t="s">
        <v>180</v>
      </c>
      <c r="C65" s="9" t="s">
        <v>64</v>
      </c>
      <c r="D65" t="b">
        <v>0</v>
      </c>
      <c r="G65" s="21">
        <v>45387</v>
      </c>
      <c r="H65" s="21">
        <v>45387</v>
      </c>
      <c r="I65" s="1" t="s">
        <v>64</v>
      </c>
      <c r="J65" s="1" t="s">
        <v>177</v>
      </c>
      <c r="K65">
        <v>1037119</v>
      </c>
      <c r="L65" s="1" t="s">
        <v>178</v>
      </c>
      <c r="M65" s="21">
        <v>45560</v>
      </c>
      <c r="N65" s="1" t="s">
        <v>64</v>
      </c>
      <c r="O65" t="s">
        <v>78</v>
      </c>
      <c r="P65" t="s">
        <v>181</v>
      </c>
      <c r="Q65">
        <v>28.43</v>
      </c>
      <c r="R65">
        <v>0</v>
      </c>
      <c r="S65">
        <v>15</v>
      </c>
      <c r="T65">
        <f t="shared" si="1"/>
        <v>0</v>
      </c>
      <c r="AG65" s="15" t="s">
        <v>85</v>
      </c>
      <c r="AH65">
        <f t="shared" ref="AH65:AH78" si="3">Q65+R65+U65+X65+Y65</f>
        <v>28.43</v>
      </c>
      <c r="AI65">
        <v>0</v>
      </c>
      <c r="AJ65">
        <v>0</v>
      </c>
      <c r="AP65" t="s">
        <v>72</v>
      </c>
      <c r="AR65" s="1" t="s">
        <v>72</v>
      </c>
      <c r="AT65" s="1" t="s">
        <v>72</v>
      </c>
      <c r="AU65" t="s">
        <v>72</v>
      </c>
      <c r="AW65" t="s">
        <v>72</v>
      </c>
      <c r="AX65" t="s">
        <v>72</v>
      </c>
      <c r="AY65" t="s">
        <v>73</v>
      </c>
      <c r="AZ65" s="15" t="s">
        <v>64</v>
      </c>
    </row>
    <row r="66" spans="1:61" x14ac:dyDescent="0.25">
      <c r="A66" s="1" t="s">
        <v>175</v>
      </c>
      <c r="B66" t="s">
        <v>180</v>
      </c>
      <c r="C66" s="9" t="s">
        <v>64</v>
      </c>
      <c r="D66" t="b">
        <v>0</v>
      </c>
      <c r="G66" s="21">
        <v>45387</v>
      </c>
      <c r="H66" s="21">
        <v>45387</v>
      </c>
      <c r="I66" s="1" t="s">
        <v>64</v>
      </c>
      <c r="J66" s="1" t="s">
        <v>177</v>
      </c>
      <c r="K66">
        <v>1036473</v>
      </c>
      <c r="L66" s="1" t="s">
        <v>178</v>
      </c>
      <c r="M66" s="21">
        <v>45560</v>
      </c>
      <c r="N66" s="1" t="s">
        <v>64</v>
      </c>
      <c r="O66" t="s">
        <v>78</v>
      </c>
      <c r="P66" t="s">
        <v>181</v>
      </c>
      <c r="Q66">
        <v>3.61</v>
      </c>
      <c r="R66">
        <v>0</v>
      </c>
      <c r="S66">
        <v>15</v>
      </c>
      <c r="T66">
        <f t="shared" ref="T66:T83" si="4">ROUND(R66*S66/100,2)</f>
        <v>0</v>
      </c>
      <c r="AG66" s="15" t="s">
        <v>85</v>
      </c>
      <c r="AH66">
        <f t="shared" si="3"/>
        <v>3.61</v>
      </c>
      <c r="AI66">
        <v>0</v>
      </c>
      <c r="AJ66">
        <v>0</v>
      </c>
      <c r="AP66" t="s">
        <v>72</v>
      </c>
      <c r="AR66" s="1" t="s">
        <v>72</v>
      </c>
      <c r="AT66" s="1" t="s">
        <v>72</v>
      </c>
      <c r="AU66" t="s">
        <v>72</v>
      </c>
      <c r="AW66" t="s">
        <v>72</v>
      </c>
      <c r="AX66" t="s">
        <v>72</v>
      </c>
      <c r="AY66" t="s">
        <v>73</v>
      </c>
      <c r="AZ66" s="15" t="s">
        <v>64</v>
      </c>
    </row>
    <row r="67" spans="1:61" x14ac:dyDescent="0.25">
      <c r="A67" s="1" t="s">
        <v>175</v>
      </c>
      <c r="B67" t="s">
        <v>180</v>
      </c>
      <c r="C67" s="9" t="s">
        <v>64</v>
      </c>
      <c r="D67" t="b">
        <v>0</v>
      </c>
      <c r="G67" s="21">
        <v>45387</v>
      </c>
      <c r="H67" s="21">
        <v>45387</v>
      </c>
      <c r="I67" s="1" t="s">
        <v>64</v>
      </c>
      <c r="J67" s="1" t="s">
        <v>177</v>
      </c>
      <c r="K67">
        <v>1036539</v>
      </c>
      <c r="L67" s="1" t="s">
        <v>178</v>
      </c>
      <c r="M67" s="21">
        <v>45560</v>
      </c>
      <c r="N67" s="1" t="s">
        <v>64</v>
      </c>
      <c r="O67" t="s">
        <v>78</v>
      </c>
      <c r="P67" t="s">
        <v>181</v>
      </c>
      <c r="Q67">
        <v>1.41</v>
      </c>
      <c r="R67">
        <v>0</v>
      </c>
      <c r="S67">
        <v>15</v>
      </c>
      <c r="T67">
        <f t="shared" si="4"/>
        <v>0</v>
      </c>
      <c r="AG67" s="15" t="s">
        <v>85</v>
      </c>
      <c r="AH67">
        <f t="shared" si="3"/>
        <v>1.41</v>
      </c>
      <c r="AI67">
        <v>0</v>
      </c>
      <c r="AJ67">
        <v>0</v>
      </c>
      <c r="AP67" t="s">
        <v>72</v>
      </c>
      <c r="AR67" s="1" t="s">
        <v>72</v>
      </c>
      <c r="AT67" s="1" t="s">
        <v>72</v>
      </c>
      <c r="AU67" t="s">
        <v>72</v>
      </c>
      <c r="AW67" t="s">
        <v>72</v>
      </c>
      <c r="AX67" t="s">
        <v>72</v>
      </c>
      <c r="AY67" t="s">
        <v>73</v>
      </c>
      <c r="AZ67" s="15" t="s">
        <v>64</v>
      </c>
    </row>
    <row r="68" spans="1:61" x14ac:dyDescent="0.25">
      <c r="A68" s="1" t="s">
        <v>175</v>
      </c>
      <c r="B68" t="s">
        <v>180</v>
      </c>
      <c r="C68" s="9" t="s">
        <v>64</v>
      </c>
      <c r="D68" t="b">
        <v>0</v>
      </c>
      <c r="G68" s="21">
        <v>45387</v>
      </c>
      <c r="H68" s="21">
        <v>45387</v>
      </c>
      <c r="I68" s="1" t="s">
        <v>64</v>
      </c>
      <c r="J68" s="1" t="s">
        <v>177</v>
      </c>
      <c r="K68">
        <v>1036635</v>
      </c>
      <c r="L68" s="1" t="s">
        <v>178</v>
      </c>
      <c r="M68" s="21">
        <v>45560</v>
      </c>
      <c r="N68" s="1" t="s">
        <v>64</v>
      </c>
      <c r="O68" t="s">
        <v>78</v>
      </c>
      <c r="P68" t="s">
        <v>181</v>
      </c>
      <c r="Q68">
        <v>18.93</v>
      </c>
      <c r="R68">
        <v>0</v>
      </c>
      <c r="S68">
        <v>15</v>
      </c>
      <c r="T68">
        <f t="shared" si="4"/>
        <v>0</v>
      </c>
      <c r="AG68" s="15" t="s">
        <v>85</v>
      </c>
      <c r="AH68">
        <f t="shared" si="3"/>
        <v>18.93</v>
      </c>
      <c r="AI68">
        <v>0</v>
      </c>
      <c r="AJ68">
        <v>0</v>
      </c>
      <c r="AP68" t="s">
        <v>72</v>
      </c>
      <c r="AR68" s="1" t="s">
        <v>72</v>
      </c>
      <c r="AT68" s="1" t="s">
        <v>72</v>
      </c>
      <c r="AU68" t="s">
        <v>72</v>
      </c>
      <c r="AW68" t="s">
        <v>72</v>
      </c>
      <c r="AX68" t="s">
        <v>72</v>
      </c>
      <c r="AY68" t="s">
        <v>73</v>
      </c>
      <c r="AZ68" s="15" t="s">
        <v>64</v>
      </c>
    </row>
    <row r="69" spans="1:61" x14ac:dyDescent="0.25">
      <c r="A69" s="1" t="s">
        <v>175</v>
      </c>
      <c r="B69" t="s">
        <v>180</v>
      </c>
      <c r="C69" s="9" t="s">
        <v>64</v>
      </c>
      <c r="D69" t="b">
        <v>0</v>
      </c>
      <c r="G69" s="21">
        <v>45387</v>
      </c>
      <c r="H69" s="21">
        <v>45387</v>
      </c>
      <c r="I69" s="1" t="s">
        <v>64</v>
      </c>
      <c r="J69" s="1" t="s">
        <v>177</v>
      </c>
      <c r="K69">
        <v>1036826</v>
      </c>
      <c r="L69" s="1" t="s">
        <v>178</v>
      </c>
      <c r="M69" s="21">
        <v>45560</v>
      </c>
      <c r="N69" s="1" t="s">
        <v>64</v>
      </c>
      <c r="O69" t="s">
        <v>78</v>
      </c>
      <c r="P69" t="s">
        <v>181</v>
      </c>
      <c r="Q69">
        <v>85.08</v>
      </c>
      <c r="R69">
        <v>0</v>
      </c>
      <c r="S69">
        <v>15</v>
      </c>
      <c r="T69">
        <f t="shared" si="4"/>
        <v>0</v>
      </c>
      <c r="AG69" s="15" t="s">
        <v>85</v>
      </c>
      <c r="AH69">
        <f t="shared" si="3"/>
        <v>85.08</v>
      </c>
      <c r="AI69">
        <v>0</v>
      </c>
      <c r="AJ69">
        <v>0</v>
      </c>
      <c r="AP69" t="s">
        <v>72</v>
      </c>
      <c r="AR69" s="1" t="s">
        <v>72</v>
      </c>
      <c r="AT69" s="1" t="s">
        <v>72</v>
      </c>
      <c r="AU69" t="s">
        <v>72</v>
      </c>
      <c r="AW69" t="s">
        <v>72</v>
      </c>
      <c r="AX69" t="s">
        <v>72</v>
      </c>
      <c r="AY69" t="s">
        <v>73</v>
      </c>
      <c r="AZ69" s="15" t="s">
        <v>64</v>
      </c>
    </row>
    <row r="70" spans="1:61" x14ac:dyDescent="0.25">
      <c r="A70" s="1" t="s">
        <v>175</v>
      </c>
      <c r="B70" t="s">
        <v>180</v>
      </c>
      <c r="C70" s="9" t="s">
        <v>64</v>
      </c>
      <c r="D70" t="b">
        <v>0</v>
      </c>
      <c r="G70" s="21">
        <v>45387</v>
      </c>
      <c r="H70" s="21">
        <v>45387</v>
      </c>
      <c r="I70" s="1" t="s">
        <v>64</v>
      </c>
      <c r="J70" s="1" t="s">
        <v>177</v>
      </c>
      <c r="K70">
        <v>1036937</v>
      </c>
      <c r="L70" s="1" t="s">
        <v>178</v>
      </c>
      <c r="M70" s="21">
        <v>45560</v>
      </c>
      <c r="N70" s="1" t="s">
        <v>64</v>
      </c>
      <c r="O70" t="s">
        <v>78</v>
      </c>
      <c r="P70" t="s">
        <v>181</v>
      </c>
      <c r="Q70">
        <v>45.35</v>
      </c>
      <c r="R70">
        <v>0</v>
      </c>
      <c r="S70">
        <v>15</v>
      </c>
      <c r="T70">
        <f t="shared" si="4"/>
        <v>0</v>
      </c>
      <c r="AG70" s="15" t="s">
        <v>85</v>
      </c>
      <c r="AH70">
        <f t="shared" si="3"/>
        <v>45.35</v>
      </c>
      <c r="AI70">
        <v>0</v>
      </c>
      <c r="AJ70">
        <v>0</v>
      </c>
      <c r="AP70" t="s">
        <v>72</v>
      </c>
      <c r="AR70" s="1" t="s">
        <v>72</v>
      </c>
      <c r="AT70" s="1" t="s">
        <v>72</v>
      </c>
      <c r="AU70" t="s">
        <v>72</v>
      </c>
      <c r="AW70" t="s">
        <v>72</v>
      </c>
      <c r="AX70" t="s">
        <v>72</v>
      </c>
      <c r="AY70" t="s">
        <v>73</v>
      </c>
      <c r="AZ70" s="15" t="s">
        <v>64</v>
      </c>
    </row>
    <row r="71" spans="1:61" x14ac:dyDescent="0.25">
      <c r="A71" s="1" t="s">
        <v>175</v>
      </c>
      <c r="B71" t="s">
        <v>180</v>
      </c>
      <c r="C71" s="9" t="s">
        <v>64</v>
      </c>
      <c r="D71" t="b">
        <v>0</v>
      </c>
      <c r="G71" s="21">
        <v>45387</v>
      </c>
      <c r="H71" s="21">
        <v>45387</v>
      </c>
      <c r="I71" s="1" t="s">
        <v>64</v>
      </c>
      <c r="J71" s="1" t="s">
        <v>177</v>
      </c>
      <c r="K71">
        <v>1036938</v>
      </c>
      <c r="L71" s="1" t="s">
        <v>178</v>
      </c>
      <c r="M71" s="21">
        <v>45560</v>
      </c>
      <c r="N71" s="1" t="s">
        <v>64</v>
      </c>
      <c r="O71" t="s">
        <v>78</v>
      </c>
      <c r="P71" t="s">
        <v>181</v>
      </c>
      <c r="Q71">
        <v>1.41</v>
      </c>
      <c r="R71">
        <v>0</v>
      </c>
      <c r="S71">
        <v>15</v>
      </c>
      <c r="T71">
        <f t="shared" si="4"/>
        <v>0</v>
      </c>
      <c r="AG71" s="15" t="s">
        <v>85</v>
      </c>
      <c r="AH71">
        <f t="shared" si="3"/>
        <v>1.41</v>
      </c>
      <c r="AI71">
        <v>0</v>
      </c>
      <c r="AJ71">
        <v>0</v>
      </c>
      <c r="AP71" t="s">
        <v>72</v>
      </c>
      <c r="AR71" s="1" t="s">
        <v>72</v>
      </c>
      <c r="AT71" s="1" t="s">
        <v>72</v>
      </c>
      <c r="AU71" t="s">
        <v>72</v>
      </c>
      <c r="AW71" t="s">
        <v>72</v>
      </c>
      <c r="AX71" t="s">
        <v>72</v>
      </c>
      <c r="AY71" t="s">
        <v>73</v>
      </c>
      <c r="AZ71" s="15" t="s">
        <v>64</v>
      </c>
    </row>
    <row r="72" spans="1:61" x14ac:dyDescent="0.25">
      <c r="A72" s="1" t="s">
        <v>182</v>
      </c>
      <c r="B72" t="s">
        <v>183</v>
      </c>
      <c r="C72" s="9" t="s">
        <v>64</v>
      </c>
      <c r="D72" t="b">
        <v>0</v>
      </c>
      <c r="G72" s="21">
        <v>45387</v>
      </c>
      <c r="H72" s="21">
        <v>45387</v>
      </c>
      <c r="I72" s="1" t="s">
        <v>64</v>
      </c>
      <c r="J72" s="1" t="s">
        <v>184</v>
      </c>
      <c r="K72">
        <v>6634435</v>
      </c>
      <c r="L72" s="1" t="s">
        <v>185</v>
      </c>
      <c r="M72" s="21">
        <v>45594</v>
      </c>
      <c r="N72" s="1" t="s">
        <v>64</v>
      </c>
      <c r="O72" t="s">
        <v>78</v>
      </c>
      <c r="P72" t="s">
        <v>186</v>
      </c>
      <c r="Q72">
        <v>59.23</v>
      </c>
      <c r="R72">
        <v>0</v>
      </c>
      <c r="S72">
        <v>15</v>
      </c>
      <c r="T72">
        <f t="shared" si="4"/>
        <v>0</v>
      </c>
      <c r="AG72" s="15" t="s">
        <v>85</v>
      </c>
      <c r="AH72">
        <f t="shared" si="3"/>
        <v>59.23</v>
      </c>
      <c r="AI72">
        <v>0</v>
      </c>
      <c r="AJ72">
        <v>0</v>
      </c>
      <c r="AP72" t="s">
        <v>72</v>
      </c>
      <c r="AR72" s="1" t="s">
        <v>72</v>
      </c>
      <c r="AT72" s="1" t="s">
        <v>72</v>
      </c>
      <c r="AU72" t="s">
        <v>72</v>
      </c>
      <c r="AW72" t="s">
        <v>72</v>
      </c>
      <c r="AX72" t="s">
        <v>72</v>
      </c>
      <c r="AY72" t="s">
        <v>73</v>
      </c>
      <c r="AZ72" s="15" t="s">
        <v>64</v>
      </c>
    </row>
    <row r="73" spans="1:61" x14ac:dyDescent="0.25">
      <c r="A73" s="1" t="s">
        <v>182</v>
      </c>
      <c r="B73" t="s">
        <v>183</v>
      </c>
      <c r="C73" s="9" t="s">
        <v>64</v>
      </c>
      <c r="D73" t="b">
        <v>0</v>
      </c>
      <c r="G73" s="21">
        <v>45387</v>
      </c>
      <c r="H73" s="21">
        <v>45387</v>
      </c>
      <c r="I73" s="1" t="s">
        <v>64</v>
      </c>
      <c r="J73" s="1" t="s">
        <v>184</v>
      </c>
      <c r="K73">
        <v>6634344</v>
      </c>
      <c r="L73" s="1" t="s">
        <v>185</v>
      </c>
      <c r="M73" s="21">
        <v>45594</v>
      </c>
      <c r="N73" s="1" t="s">
        <v>64</v>
      </c>
      <c r="O73" t="s">
        <v>78</v>
      </c>
      <c r="P73" t="s">
        <v>186</v>
      </c>
      <c r="Q73">
        <v>1.67</v>
      </c>
      <c r="R73">
        <v>0</v>
      </c>
      <c r="S73">
        <v>15</v>
      </c>
      <c r="T73">
        <f t="shared" si="4"/>
        <v>0</v>
      </c>
      <c r="AG73" s="15" t="s">
        <v>85</v>
      </c>
      <c r="AH73">
        <f t="shared" si="3"/>
        <v>1.67</v>
      </c>
      <c r="AI73">
        <v>0</v>
      </c>
      <c r="AJ73">
        <v>0</v>
      </c>
      <c r="AP73" t="s">
        <v>72</v>
      </c>
      <c r="AR73" s="1" t="s">
        <v>72</v>
      </c>
      <c r="AT73" s="1" t="s">
        <v>72</v>
      </c>
      <c r="AU73" t="s">
        <v>72</v>
      </c>
      <c r="AW73" t="s">
        <v>72</v>
      </c>
      <c r="AX73" t="s">
        <v>72</v>
      </c>
      <c r="AY73" t="s">
        <v>73</v>
      </c>
      <c r="AZ73" s="15" t="s">
        <v>64</v>
      </c>
    </row>
    <row r="74" spans="1:61" x14ac:dyDescent="0.25">
      <c r="A74" s="1" t="s">
        <v>187</v>
      </c>
      <c r="B74" t="s">
        <v>188</v>
      </c>
      <c r="C74" s="9" t="s">
        <v>64</v>
      </c>
      <c r="D74" t="b">
        <v>0</v>
      </c>
      <c r="G74" s="21">
        <v>45388</v>
      </c>
      <c r="H74" s="21">
        <v>45388</v>
      </c>
      <c r="I74" s="1" t="s">
        <v>64</v>
      </c>
      <c r="J74" s="1" t="s">
        <v>65</v>
      </c>
      <c r="K74">
        <v>21117954</v>
      </c>
      <c r="L74" s="1" t="s">
        <v>189</v>
      </c>
      <c r="M74" s="21">
        <v>45566</v>
      </c>
      <c r="N74" s="1" t="s">
        <v>64</v>
      </c>
      <c r="O74" t="s">
        <v>68</v>
      </c>
      <c r="P74" t="s">
        <v>190</v>
      </c>
      <c r="Q74">
        <v>0</v>
      </c>
      <c r="R74">
        <v>6.49</v>
      </c>
      <c r="S74">
        <v>15</v>
      </c>
      <c r="T74">
        <f t="shared" si="4"/>
        <v>0.97</v>
      </c>
      <c r="AG74" s="15" t="s">
        <v>85</v>
      </c>
      <c r="AH74">
        <f t="shared" si="3"/>
        <v>6.49</v>
      </c>
      <c r="AI74">
        <v>0</v>
      </c>
      <c r="AJ74">
        <v>0</v>
      </c>
      <c r="AP74" t="s">
        <v>72</v>
      </c>
      <c r="AR74" s="1" t="s">
        <v>72</v>
      </c>
      <c r="AT74" s="1" t="s">
        <v>72</v>
      </c>
      <c r="AU74" t="s">
        <v>72</v>
      </c>
      <c r="AW74" t="s">
        <v>72</v>
      </c>
      <c r="AX74" t="s">
        <v>72</v>
      </c>
      <c r="AY74" t="s">
        <v>73</v>
      </c>
      <c r="AZ74" s="15" t="s">
        <v>64</v>
      </c>
    </row>
    <row r="75" spans="1:61" x14ac:dyDescent="0.25">
      <c r="A75" s="1" t="s">
        <v>187</v>
      </c>
      <c r="B75" t="s">
        <v>188</v>
      </c>
      <c r="C75" s="9" t="s">
        <v>64</v>
      </c>
      <c r="D75" t="b">
        <v>0</v>
      </c>
      <c r="G75" s="21">
        <v>45388</v>
      </c>
      <c r="H75" s="21">
        <v>45388</v>
      </c>
      <c r="I75" s="1" t="s">
        <v>64</v>
      </c>
      <c r="J75" s="1" t="s">
        <v>65</v>
      </c>
      <c r="K75">
        <v>21117955</v>
      </c>
      <c r="L75" s="1" t="s">
        <v>189</v>
      </c>
      <c r="M75" s="21">
        <v>45566</v>
      </c>
      <c r="N75" s="1" t="s">
        <v>64</v>
      </c>
      <c r="O75" t="s">
        <v>68</v>
      </c>
      <c r="P75" t="s">
        <v>190</v>
      </c>
      <c r="Q75">
        <v>0</v>
      </c>
      <c r="R75">
        <v>15.46</v>
      </c>
      <c r="S75">
        <v>15</v>
      </c>
      <c r="T75">
        <f t="shared" si="4"/>
        <v>2.3199999999999998</v>
      </c>
      <c r="AG75" s="15" t="s">
        <v>85</v>
      </c>
      <c r="AH75">
        <f t="shared" si="3"/>
        <v>15.46</v>
      </c>
      <c r="AI75">
        <v>0</v>
      </c>
      <c r="AJ75">
        <v>0</v>
      </c>
      <c r="AP75" t="s">
        <v>72</v>
      </c>
      <c r="AR75" s="1" t="s">
        <v>72</v>
      </c>
      <c r="AT75" s="1" t="s">
        <v>72</v>
      </c>
      <c r="AU75" t="s">
        <v>72</v>
      </c>
      <c r="AW75" t="s">
        <v>72</v>
      </c>
      <c r="AX75" t="s">
        <v>72</v>
      </c>
      <c r="AY75" t="s">
        <v>73</v>
      </c>
      <c r="AZ75" s="15" t="s">
        <v>64</v>
      </c>
    </row>
    <row r="76" spans="1:61" x14ac:dyDescent="0.25">
      <c r="A76" s="1" t="s">
        <v>187</v>
      </c>
      <c r="B76" t="s">
        <v>188</v>
      </c>
      <c r="C76" s="9" t="s">
        <v>64</v>
      </c>
      <c r="D76" t="b">
        <v>0</v>
      </c>
      <c r="G76" s="21">
        <v>45388</v>
      </c>
      <c r="H76" s="21">
        <v>45388</v>
      </c>
      <c r="I76" s="1" t="s">
        <v>64</v>
      </c>
      <c r="J76" s="1" t="s">
        <v>65</v>
      </c>
      <c r="K76">
        <v>21117958</v>
      </c>
      <c r="L76" s="1" t="s">
        <v>189</v>
      </c>
      <c r="M76" s="21">
        <v>45566</v>
      </c>
      <c r="N76" s="1" t="s">
        <v>64</v>
      </c>
      <c r="O76" t="s">
        <v>68</v>
      </c>
      <c r="P76" t="s">
        <v>190</v>
      </c>
      <c r="Q76">
        <v>0</v>
      </c>
      <c r="R76">
        <v>49.79</v>
      </c>
      <c r="S76">
        <v>15</v>
      </c>
      <c r="T76">
        <f t="shared" si="4"/>
        <v>7.47</v>
      </c>
      <c r="AG76" s="15" t="s">
        <v>85</v>
      </c>
      <c r="AH76">
        <f t="shared" si="3"/>
        <v>49.79</v>
      </c>
      <c r="AI76">
        <v>0</v>
      </c>
      <c r="AJ76">
        <v>0</v>
      </c>
      <c r="AP76" t="s">
        <v>72</v>
      </c>
      <c r="AR76" s="1" t="s">
        <v>72</v>
      </c>
      <c r="AT76" s="1" t="s">
        <v>72</v>
      </c>
      <c r="AU76" t="s">
        <v>72</v>
      </c>
      <c r="AW76" t="s">
        <v>72</v>
      </c>
      <c r="AX76" t="s">
        <v>72</v>
      </c>
      <c r="AY76" t="s">
        <v>73</v>
      </c>
      <c r="AZ76" s="15" t="s">
        <v>64</v>
      </c>
    </row>
    <row r="77" spans="1:61" x14ac:dyDescent="0.25">
      <c r="A77" s="1" t="s">
        <v>187</v>
      </c>
      <c r="B77" t="s">
        <v>188</v>
      </c>
      <c r="C77" s="9" t="s">
        <v>64</v>
      </c>
      <c r="D77" t="b">
        <v>0</v>
      </c>
      <c r="G77" s="21">
        <v>45388</v>
      </c>
      <c r="H77" s="21">
        <v>45388</v>
      </c>
      <c r="I77" s="1" t="s">
        <v>64</v>
      </c>
      <c r="J77" s="1" t="s">
        <v>65</v>
      </c>
      <c r="K77">
        <v>21117966</v>
      </c>
      <c r="L77" s="1" t="s">
        <v>189</v>
      </c>
      <c r="M77" s="21">
        <v>45566</v>
      </c>
      <c r="N77" s="1" t="s">
        <v>64</v>
      </c>
      <c r="O77" t="s">
        <v>68</v>
      </c>
      <c r="P77" t="s">
        <v>190</v>
      </c>
      <c r="Q77">
        <v>0</v>
      </c>
      <c r="R77">
        <v>7.15</v>
      </c>
      <c r="S77">
        <v>15</v>
      </c>
      <c r="T77">
        <f t="shared" si="4"/>
        <v>1.07</v>
      </c>
      <c r="AG77" s="15" t="s">
        <v>85</v>
      </c>
      <c r="AH77">
        <f t="shared" si="3"/>
        <v>7.15</v>
      </c>
      <c r="AI77">
        <v>0</v>
      </c>
      <c r="AJ77">
        <v>0</v>
      </c>
      <c r="AP77" t="s">
        <v>72</v>
      </c>
      <c r="AR77" s="1" t="s">
        <v>72</v>
      </c>
      <c r="AT77" s="1" t="s">
        <v>72</v>
      </c>
      <c r="AU77" t="s">
        <v>72</v>
      </c>
      <c r="AW77" t="s">
        <v>72</v>
      </c>
      <c r="AX77" t="s">
        <v>72</v>
      </c>
      <c r="AY77" t="s">
        <v>73</v>
      </c>
      <c r="AZ77" s="15" t="s">
        <v>64</v>
      </c>
    </row>
    <row r="78" spans="1:61" x14ac:dyDescent="0.25">
      <c r="A78" s="1" t="s">
        <v>187</v>
      </c>
      <c r="B78" t="s">
        <v>188</v>
      </c>
      <c r="C78" s="1" t="s">
        <v>64</v>
      </c>
      <c r="D78" t="b">
        <v>0</v>
      </c>
      <c r="G78" s="21">
        <v>45388</v>
      </c>
      <c r="H78" s="21">
        <v>45388</v>
      </c>
      <c r="I78" s="1" t="s">
        <v>64</v>
      </c>
      <c r="J78" s="1" t="s">
        <v>65</v>
      </c>
      <c r="K78">
        <v>21117947</v>
      </c>
      <c r="L78" s="1" t="s">
        <v>189</v>
      </c>
      <c r="M78" s="21">
        <v>45566</v>
      </c>
      <c r="N78" s="1" t="s">
        <v>64</v>
      </c>
      <c r="O78" t="s">
        <v>68</v>
      </c>
      <c r="P78" t="s">
        <v>190</v>
      </c>
      <c r="Q78">
        <v>0</v>
      </c>
      <c r="R78">
        <v>6.2</v>
      </c>
      <c r="S78">
        <v>15</v>
      </c>
      <c r="T78">
        <f t="shared" si="4"/>
        <v>0.93</v>
      </c>
      <c r="AG78" s="15" t="s">
        <v>85</v>
      </c>
      <c r="AH78">
        <f t="shared" si="3"/>
        <v>6.2</v>
      </c>
      <c r="AI78">
        <v>0</v>
      </c>
      <c r="AJ78">
        <v>0</v>
      </c>
      <c r="AP78" t="s">
        <v>72</v>
      </c>
      <c r="AR78" s="1" t="s">
        <v>72</v>
      </c>
      <c r="AT78" s="1" t="s">
        <v>72</v>
      </c>
      <c r="AU78" t="s">
        <v>72</v>
      </c>
      <c r="AW78" t="s">
        <v>72</v>
      </c>
      <c r="AX78" t="s">
        <v>72</v>
      </c>
      <c r="AY78" t="s">
        <v>73</v>
      </c>
      <c r="AZ78" s="15" t="s">
        <v>64</v>
      </c>
    </row>
    <row r="79" spans="1:61" s="14" customFormat="1" x14ac:dyDescent="0.25">
      <c r="A79" s="12" t="s">
        <v>191</v>
      </c>
      <c r="B79" s="14" t="s">
        <v>171</v>
      </c>
      <c r="C79" s="9" t="s">
        <v>64</v>
      </c>
      <c r="D79" s="14" t="b">
        <v>0</v>
      </c>
      <c r="E79" s="12"/>
      <c r="F79" s="12"/>
      <c r="G79" s="21">
        <v>45412</v>
      </c>
      <c r="H79" s="21">
        <v>45412</v>
      </c>
      <c r="I79" s="18" t="s">
        <v>192</v>
      </c>
      <c r="J79" s="12" t="s">
        <v>65</v>
      </c>
      <c r="K79" s="14">
        <v>209</v>
      </c>
      <c r="L79" s="12" t="s">
        <v>193</v>
      </c>
      <c r="M79" s="21">
        <v>45647</v>
      </c>
      <c r="N79" s="12" t="s">
        <v>64</v>
      </c>
      <c r="O79" s="14" t="s">
        <v>78</v>
      </c>
      <c r="P79" s="19" t="s">
        <v>194</v>
      </c>
      <c r="Q79" s="14">
        <v>0</v>
      </c>
      <c r="R79" s="14">
        <v>300</v>
      </c>
      <c r="S79">
        <v>15</v>
      </c>
      <c r="T79">
        <f t="shared" si="4"/>
        <v>45</v>
      </c>
      <c r="AG79" s="12"/>
      <c r="AH79"/>
      <c r="AR79" s="12"/>
      <c r="AS79" s="3"/>
      <c r="AT79" s="12" t="s">
        <v>64</v>
      </c>
      <c r="AU79" s="14" t="s">
        <v>65</v>
      </c>
      <c r="AV79" s="14">
        <v>305</v>
      </c>
      <c r="AW79" s="12" t="s">
        <v>195</v>
      </c>
      <c r="AX79" s="14" t="s">
        <v>72</v>
      </c>
      <c r="AY79" s="14" t="s">
        <v>73</v>
      </c>
      <c r="AZ79" s="12" t="s">
        <v>64</v>
      </c>
      <c r="BA79" s="12"/>
      <c r="BI79" s="12"/>
    </row>
    <row r="80" spans="1:61" s="14" customFormat="1" x14ac:dyDescent="0.25">
      <c r="A80" s="12" t="s">
        <v>206</v>
      </c>
      <c r="B80" s="14" t="s">
        <v>207</v>
      </c>
      <c r="C80" s="9" t="s">
        <v>214</v>
      </c>
      <c r="D80" s="14" t="b">
        <v>0</v>
      </c>
      <c r="E80" s="13" t="s">
        <v>64</v>
      </c>
      <c r="F80" s="13"/>
      <c r="G80" s="22">
        <v>45412</v>
      </c>
      <c r="H80" s="22">
        <v>45412</v>
      </c>
      <c r="I80" s="12" t="s">
        <v>64</v>
      </c>
      <c r="J80" s="12" t="s">
        <v>65</v>
      </c>
      <c r="K80" s="14">
        <v>78787887</v>
      </c>
      <c r="L80" s="12" t="s">
        <v>196</v>
      </c>
      <c r="M80" s="22">
        <v>45647</v>
      </c>
      <c r="N80" s="13" t="s">
        <v>67</v>
      </c>
      <c r="O80" s="14" t="s">
        <v>78</v>
      </c>
      <c r="P80" s="19" t="s">
        <v>197</v>
      </c>
      <c r="Q80" s="14">
        <v>100</v>
      </c>
      <c r="R80" s="14">
        <v>0</v>
      </c>
      <c r="S80" s="10">
        <v>15</v>
      </c>
      <c r="T80" s="10">
        <f t="shared" si="4"/>
        <v>0</v>
      </c>
      <c r="AG80" s="12"/>
      <c r="AH80" s="10"/>
      <c r="AR80" s="12"/>
      <c r="AS80" s="11"/>
      <c r="AT80" s="12"/>
      <c r="AV80" s="12"/>
      <c r="AW80" s="14" t="s">
        <v>72</v>
      </c>
      <c r="AY80" s="14" t="s">
        <v>73</v>
      </c>
      <c r="AZ80" s="13" t="s">
        <v>64</v>
      </c>
      <c r="BA80" s="12" t="s">
        <v>198</v>
      </c>
      <c r="BE80" s="20" t="s">
        <v>64</v>
      </c>
      <c r="BF80" s="12" t="s">
        <v>198</v>
      </c>
      <c r="BI80" s="13" t="s">
        <v>64</v>
      </c>
    </row>
    <row r="81" spans="1:61" s="14" customFormat="1" x14ac:dyDescent="0.25">
      <c r="A81" s="12" t="s">
        <v>208</v>
      </c>
      <c r="B81" s="14" t="s">
        <v>209</v>
      </c>
      <c r="C81" s="9" t="s">
        <v>214</v>
      </c>
      <c r="D81" s="14" t="b">
        <v>0</v>
      </c>
      <c r="E81" s="13" t="s">
        <v>64</v>
      </c>
      <c r="F81" s="13"/>
      <c r="G81" s="22">
        <v>45412</v>
      </c>
      <c r="H81" s="22">
        <v>45412</v>
      </c>
      <c r="I81" s="12" t="s">
        <v>64</v>
      </c>
      <c r="J81" s="12" t="s">
        <v>65</v>
      </c>
      <c r="K81" s="14">
        <v>232323</v>
      </c>
      <c r="L81" s="12" t="s">
        <v>196</v>
      </c>
      <c r="M81" s="22">
        <v>45647</v>
      </c>
      <c r="N81" s="13" t="s">
        <v>67</v>
      </c>
      <c r="O81" s="14" t="s">
        <v>78</v>
      </c>
      <c r="P81" s="19" t="s">
        <v>197</v>
      </c>
      <c r="Q81" s="14">
        <v>100</v>
      </c>
      <c r="R81" s="14">
        <v>0</v>
      </c>
      <c r="S81" s="10">
        <v>15</v>
      </c>
      <c r="T81" s="10">
        <f t="shared" si="4"/>
        <v>0</v>
      </c>
      <c r="AG81" s="12"/>
      <c r="AH81" s="10"/>
      <c r="AR81" s="12"/>
      <c r="AS81" s="11"/>
      <c r="AT81" s="12"/>
      <c r="AV81" s="12"/>
      <c r="AY81" s="14" t="s">
        <v>73</v>
      </c>
      <c r="AZ81" s="13" t="s">
        <v>64</v>
      </c>
      <c r="BA81" s="12" t="s">
        <v>199</v>
      </c>
      <c r="BE81" s="20" t="s">
        <v>64</v>
      </c>
      <c r="BF81" s="12" t="s">
        <v>199</v>
      </c>
      <c r="BG81" s="20"/>
      <c r="BI81" s="13" t="s">
        <v>64</v>
      </c>
    </row>
    <row r="82" spans="1:61" s="14" customFormat="1" x14ac:dyDescent="0.25">
      <c r="A82" s="12" t="s">
        <v>210</v>
      </c>
      <c r="B82" s="14" t="s">
        <v>211</v>
      </c>
      <c r="C82" s="9" t="s">
        <v>214</v>
      </c>
      <c r="D82" s="14" t="b">
        <v>0</v>
      </c>
      <c r="E82" s="13" t="s">
        <v>64</v>
      </c>
      <c r="F82" s="13"/>
      <c r="G82" s="22">
        <v>45412</v>
      </c>
      <c r="H82" s="22">
        <v>45412</v>
      </c>
      <c r="I82" s="12" t="s">
        <v>64</v>
      </c>
      <c r="J82" s="12" t="s">
        <v>65</v>
      </c>
      <c r="K82" s="14">
        <v>65656</v>
      </c>
      <c r="L82" s="12" t="s">
        <v>196</v>
      </c>
      <c r="M82" s="22">
        <v>45647</v>
      </c>
      <c r="N82" s="13" t="s">
        <v>67</v>
      </c>
      <c r="O82" s="14" t="s">
        <v>78</v>
      </c>
      <c r="P82" s="19" t="s">
        <v>197</v>
      </c>
      <c r="Q82" s="14">
        <v>100</v>
      </c>
      <c r="R82" s="14">
        <v>0</v>
      </c>
      <c r="S82" s="10">
        <v>15</v>
      </c>
      <c r="T82" s="10">
        <f t="shared" si="4"/>
        <v>0</v>
      </c>
      <c r="AG82" s="12"/>
      <c r="AH82" s="10"/>
      <c r="AR82" s="12"/>
      <c r="AS82" s="11"/>
      <c r="AT82" s="12"/>
      <c r="AV82" s="12"/>
      <c r="AW82" s="14" t="s">
        <v>72</v>
      </c>
      <c r="AY82" s="14" t="s">
        <v>73</v>
      </c>
      <c r="AZ82" s="13" t="s">
        <v>64</v>
      </c>
      <c r="BA82" s="13" t="s">
        <v>200</v>
      </c>
      <c r="BE82" s="20" t="s">
        <v>64</v>
      </c>
      <c r="BF82" s="13" t="s">
        <v>200</v>
      </c>
      <c r="BG82" s="20"/>
      <c r="BI82" s="13" t="s">
        <v>64</v>
      </c>
    </row>
    <row r="83" spans="1:61" s="10" customFormat="1" x14ac:dyDescent="0.25">
      <c r="A83" s="12" t="s">
        <v>212</v>
      </c>
      <c r="B83" t="s">
        <v>213</v>
      </c>
      <c r="C83" s="9" t="s">
        <v>214</v>
      </c>
      <c r="D83" s="10" t="b">
        <v>0</v>
      </c>
      <c r="E83" s="12" t="s">
        <v>64</v>
      </c>
      <c r="F83" s="12"/>
      <c r="G83" s="22">
        <v>45387</v>
      </c>
      <c r="H83" s="22">
        <v>45387</v>
      </c>
      <c r="I83" s="12" t="s">
        <v>64</v>
      </c>
      <c r="J83" s="12" t="s">
        <v>202</v>
      </c>
      <c r="K83" s="10">
        <v>9999999</v>
      </c>
      <c r="L83" s="12" t="s">
        <v>203</v>
      </c>
      <c r="M83" s="22">
        <v>45721</v>
      </c>
      <c r="N83" s="9" t="s">
        <v>67</v>
      </c>
      <c r="O83" s="14" t="s">
        <v>78</v>
      </c>
      <c r="P83" s="14" t="s">
        <v>201</v>
      </c>
      <c r="Q83" s="10">
        <v>300</v>
      </c>
      <c r="R83" s="10">
        <v>0</v>
      </c>
      <c r="S83" s="10">
        <v>15</v>
      </c>
      <c r="T83" s="10">
        <f t="shared" si="4"/>
        <v>0</v>
      </c>
      <c r="AG83" s="12" t="s">
        <v>204</v>
      </c>
      <c r="AH83" s="10">
        <f t="shared" ref="AH83" si="5">Q83+R83+U83+X83+Y83</f>
        <v>300</v>
      </c>
      <c r="AI83" s="10">
        <v>1</v>
      </c>
      <c r="AJ83" s="10">
        <v>3</v>
      </c>
      <c r="AP83" s="10" t="s">
        <v>65</v>
      </c>
      <c r="AQ83" s="10">
        <v>13000</v>
      </c>
      <c r="AR83" s="9" t="s">
        <v>71</v>
      </c>
      <c r="AS83" s="11">
        <v>45387</v>
      </c>
      <c r="AT83" s="9" t="s">
        <v>72</v>
      </c>
      <c r="AU83" s="10" t="s">
        <v>72</v>
      </c>
      <c r="AW83" s="10" t="s">
        <v>72</v>
      </c>
      <c r="AX83" s="10" t="s">
        <v>72</v>
      </c>
      <c r="AY83" s="10" t="s">
        <v>73</v>
      </c>
      <c r="AZ83" s="12" t="s">
        <v>64</v>
      </c>
      <c r="BA83" s="15" t="s">
        <v>205</v>
      </c>
      <c r="BB83"/>
      <c r="BC83"/>
      <c r="BD83"/>
      <c r="BE83" s="20" t="s">
        <v>64</v>
      </c>
      <c r="BF83" s="15" t="s">
        <v>205</v>
      </c>
      <c r="BG83"/>
      <c r="BH83"/>
      <c r="BI83" s="13" t="s">
        <v>74</v>
      </c>
    </row>
    <row r="85" spans="1:61" x14ac:dyDescent="0.25">
      <c r="B85" s="1"/>
      <c r="D85" s="1"/>
      <c r="G85" s="1"/>
      <c r="H85" s="1"/>
      <c r="K85" s="1"/>
      <c r="M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S85" s="1"/>
      <c r="AU85" s="1"/>
      <c r="AV85" s="1"/>
      <c r="AW85" s="1"/>
      <c r="AX85" s="1"/>
      <c r="AY85" s="1"/>
      <c r="BB85" s="1"/>
      <c r="BC85" s="1"/>
      <c r="BD85" s="1"/>
      <c r="BE85" s="1"/>
      <c r="BF85" s="1"/>
      <c r="BG85" s="1"/>
      <c r="BH85" s="1"/>
    </row>
  </sheetData>
  <autoFilter ref="A1:A83" xr:uid="{78373DF4-5B40-4F4A-A570-4829335EFAF9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Ismael</dc:creator>
  <cp:lastModifiedBy>Ismael</cp:lastModifiedBy>
  <dcterms:created xsi:type="dcterms:W3CDTF">2026-08-17T14:24:47Z</dcterms:created>
  <dcterms:modified xsi:type="dcterms:W3CDTF">2026-08-20T16:21:53Z</dcterms:modified>
</cp:coreProperties>
</file>