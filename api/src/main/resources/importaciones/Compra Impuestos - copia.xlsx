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C996B434-BA71-4A0D-A374-539FBC1770FE}" xr6:coauthVersionLast="36" xr6:coauthVersionMax="36" xr10:uidLastSave="{00000000-0000-0000-0000-000000000000}"/>
  <bookViews>
    <workbookView xWindow="0" yWindow="0" windowWidth="28800" windowHeight="12105" xr2:uid="{D37E80EC-E639-4DD6-860C-2105308D7D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5" i="1" l="1"/>
  <c r="T15" i="1"/>
  <c r="T14" i="1"/>
  <c r="T13" i="1"/>
  <c r="T12" i="1"/>
  <c r="T11" i="1"/>
  <c r="AH10" i="1"/>
  <c r="T10" i="1"/>
  <c r="AH9" i="1"/>
  <c r="T9" i="1"/>
  <c r="AH8" i="1"/>
  <c r="T8" i="1"/>
  <c r="AH7" i="1"/>
  <c r="T7" i="1"/>
  <c r="AH6" i="1"/>
  <c r="T6" i="1"/>
  <c r="AH5" i="1"/>
  <c r="T5" i="1"/>
  <c r="AH4" i="1"/>
  <c r="T4" i="1"/>
  <c r="AH3" i="1"/>
  <c r="T3" i="1"/>
  <c r="AH2" i="1"/>
  <c r="T2" i="1"/>
</calcChain>
</file>

<file path=xl/sharedStrings.xml><?xml version="1.0" encoding="utf-8"?>
<sst xmlns="http://schemas.openxmlformats.org/spreadsheetml/2006/main" count="294" uniqueCount="109">
  <si>
    <t>ProvRUCCedPas</t>
  </si>
  <si>
    <t>ProvNombre</t>
  </si>
  <si>
    <t>ProvTipdocu</t>
  </si>
  <si>
    <t>Relacionada</t>
  </si>
  <si>
    <t>TipoProveed</t>
  </si>
  <si>
    <t>TipoContribuyente</t>
  </si>
  <si>
    <t>Emision</t>
  </si>
  <si>
    <t>Registro</t>
  </si>
  <si>
    <t>Comprobante</t>
  </si>
  <si>
    <t>SerieComp</t>
  </si>
  <si>
    <t>SecuencComp</t>
  </si>
  <si>
    <t>AutComp</t>
  </si>
  <si>
    <t>Caducidad</t>
  </si>
  <si>
    <t>CredTribu</t>
  </si>
  <si>
    <t>DevolucIVA</t>
  </si>
  <si>
    <t>Concepto</t>
  </si>
  <si>
    <t>Base0</t>
  </si>
  <si>
    <t>BaseGrav (1)</t>
  </si>
  <si>
    <t>PorcentIVA (1)</t>
  </si>
  <si>
    <t>IVA (1)</t>
  </si>
  <si>
    <t>BaseGrav (2)</t>
  </si>
  <si>
    <t>PorcentIVA (2)</t>
  </si>
  <si>
    <t>IVA (2)</t>
  </si>
  <si>
    <t>NoObj</t>
  </si>
  <si>
    <t>Exenta</t>
  </si>
  <si>
    <t>ValICE</t>
  </si>
  <si>
    <t>ValRetIVA10</t>
  </si>
  <si>
    <t>ValRetIVA20</t>
  </si>
  <si>
    <t>ValRetIVA30</t>
  </si>
  <si>
    <t>ValRetIVA50</t>
  </si>
  <si>
    <t>ValRetIVA70</t>
  </si>
  <si>
    <t>ValRetIVA100</t>
  </si>
  <si>
    <t>CodRet</t>
  </si>
  <si>
    <t>BaseRetIR</t>
  </si>
  <si>
    <t>PorRetIR</t>
  </si>
  <si>
    <t>ValRetIR</t>
  </si>
  <si>
    <t>FecPagoDIV</t>
  </si>
  <si>
    <t xml:space="preserve">IRAsociDIV     </t>
  </si>
  <si>
    <t xml:space="preserve">AñoGenUtil    </t>
  </si>
  <si>
    <t>CanCajBan</t>
  </si>
  <si>
    <t>PreCajBan</t>
  </si>
  <si>
    <t>SerieRet</t>
  </si>
  <si>
    <t>SecuencRet</t>
  </si>
  <si>
    <t>AutRet</t>
  </si>
  <si>
    <t>EmisionRet</t>
  </si>
  <si>
    <t>CompModif</t>
  </si>
  <si>
    <t>SerieModif</t>
  </si>
  <si>
    <t>SecuencModif</t>
  </si>
  <si>
    <t>AutModif</t>
  </si>
  <si>
    <t>CompPago</t>
  </si>
  <si>
    <t>Liquidar</t>
  </si>
  <si>
    <t>TipoPagoSRI</t>
  </si>
  <si>
    <t>Pais</t>
  </si>
  <si>
    <t>RegFisPre</t>
  </si>
  <si>
    <t>Convenio</t>
  </si>
  <si>
    <t>RetNormaLeg</t>
  </si>
  <si>
    <t>Tipo de regimen fiscal del exterior</t>
  </si>
  <si>
    <t>País al que se realiza el pago en régimen general</t>
  </si>
  <si>
    <t>País al que se realiza el pago paraíso fiscal</t>
  </si>
  <si>
    <t>Denominación del régimen fiscal preferente o jurisdicción de menor imposición</t>
  </si>
  <si>
    <t>FormaPagoSRI</t>
  </si>
  <si>
    <t>CompSolida</t>
  </si>
  <si>
    <t>01</t>
  </si>
  <si>
    <t>001001</t>
  </si>
  <si>
    <t>S</t>
  </si>
  <si>
    <t>1111403411</t>
  </si>
  <si>
    <t/>
  </si>
  <si>
    <t>1</t>
  </si>
  <si>
    <t>20</t>
  </si>
  <si>
    <t>N</t>
  </si>
  <si>
    <t>332</t>
  </si>
  <si>
    <t>BOZA ROCA HECTOR HUGO</t>
  </si>
  <si>
    <t>1890001439001</t>
  </si>
  <si>
    <t>002002</t>
  </si>
  <si>
    <t>1110752203</t>
  </si>
  <si>
    <t>EMPRESA ELECTRICA AMBATO REGIONAL NORTE</t>
  </si>
  <si>
    <t>ENERGIA ELECTRICA</t>
  </si>
  <si>
    <t>0190003809001</t>
  </si>
  <si>
    <t>EMPRESA ELECTRICA REGIONAL CENTRO SUR C.A.</t>
  </si>
  <si>
    <t>001003</t>
  </si>
  <si>
    <t>1110911356</t>
  </si>
  <si>
    <t>ENERGÍA ELECTRICA</t>
  </si>
  <si>
    <t>1768152560001</t>
  </si>
  <si>
    <t>CORPORACION NACIONAL DE TELECOMUNICACIONES CNT EP</t>
  </si>
  <si>
    <t>1110783686</t>
  </si>
  <si>
    <t>TELEFONO</t>
  </si>
  <si>
    <t xml:space="preserve">1768152560001  </t>
  </si>
  <si>
    <t>04</t>
  </si>
  <si>
    <t>5445655544</t>
  </si>
  <si>
    <t>DEVOLUCION</t>
  </si>
  <si>
    <t>2803201501176815256000120017770169229520308201514</t>
  </si>
  <si>
    <t>1116778866</t>
  </si>
  <si>
    <t>PAGO NO RESIDENTE</t>
  </si>
  <si>
    <t>130</t>
  </si>
  <si>
    <t>109</t>
  </si>
  <si>
    <t>141</t>
  </si>
  <si>
    <t>301</t>
  </si>
  <si>
    <t>EXTERIOR</t>
  </si>
  <si>
    <t>999999</t>
  </si>
  <si>
    <t>9999999999</t>
  </si>
  <si>
    <t>500</t>
  </si>
  <si>
    <t>JUAN PEREZ</t>
  </si>
  <si>
    <t>JUAN AYALA</t>
  </si>
  <si>
    <t>JUAN RODRIGUEZ</t>
  </si>
  <si>
    <t>JUAN ALDO</t>
  </si>
  <si>
    <t>1234567393001</t>
  </si>
  <si>
    <t>1234567292001</t>
  </si>
  <si>
    <t>1234567890001</t>
  </si>
  <si>
    <t>1234567191001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</si>
</sst>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14" fontId="0" fillId="0" borderId="0" xfId="0" applyNumberFormat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1" fillId="3" borderId="0" xfId="0" applyFont="1" applyFill="1"/>
    <xf numFmtId="164" fontId="0" fillId="0" borderId="0" xfId="0" applyNumberFormat="1"/>
    <xf numFmtId="49" fontId="1" fillId="0" borderId="0" xfId="0" applyNumberFormat="1" applyFont="1"/>
    <xf numFmtId="49" fontId="1" fillId="4" borderId="0" xfId="0" applyNumberFormat="1" applyFont="1" applyFill="1"/>
    <xf numFmtId="0" fontId="1" fillId="4" borderId="0" xfId="0" applyFont="1" applyFill="1"/>
    <xf numFmtId="164" fontId="0" fillId="4" borderId="0" xfId="0" applyNumberFormat="1" applyFill="1"/>
    <xf numFmtId="0" fontId="3" fillId="4" borderId="0" xfId="0" applyFont="1" applyFill="1"/>
    <xf numFmtId="0" fontId="0" fillId="4" borderId="0" xfId="0" applyFill="1"/>
    <xf numFmtId="14" fontId="0" fillId="4" borderId="0" xfId="0" applyNumberFormat="1" applyFill="1"/>
    <xf numFmtId="49" fontId="1" fillId="0" borderId="0" xfId="0" applyNumberFormat="1" applyFont="1" applyFill="1"/>
    <xf numFmtId="0" fontId="1" fillId="0" borderId="0" xfId="0" applyFont="1" applyFill="1"/>
    <xf numFmtId="49" fontId="1" fillId="0" borderId="0" xfId="0" quotePrefix="1" applyNumberFormat="1" applyFont="1" applyFill="1"/>
    <xf numFmtId="164" fontId="0" fillId="0" borderId="0" xfId="0" applyNumberFormat="1" applyFill="1"/>
    <xf numFmtId="0" fontId="3" fillId="0" borderId="0" xfId="0" applyFont="1" applyFill="1"/>
    <xf numFmtId="0" fontId="0" fillId="0" borderId="0" xfId="0" applyFill="1"/>
    <xf numFmtId="14" fontId="0" fillId="0" borderId="0" xfId="0" applyNumberFormat="1" applyFill="1"/>
    <xf numFmtId="0" fontId="1" fillId="0" borderId="0" xfId="0" quotePrefix="1" applyFont="1" applyFill="1"/>
    <xf numFmtId="49" fontId="0" fillId="0" borderId="0" xfId="0" applyNumberFormat="1" applyFill="1"/>
    <xf numFmtId="49" fontId="1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D072-D21B-4E00-B136-7128D20EBC80}">
  <dimension ref="A1:BJ19"/>
  <sheetViews>
    <sheetView tabSelected="1" workbookViewId="0">
      <selection activeCell="I12" sqref="I12:I14"/>
    </sheetView>
  </sheetViews>
  <sheetFormatPr baseColWidth="10" defaultRowHeight="15" x14ac:dyDescent="0.25"/>
  <cols>
    <col min="1" max="1" width="20" style="1" customWidth="1"/>
    <col min="2" max="2" width="14.42578125" customWidth="1"/>
    <col min="3" max="3" width="14.28515625" customWidth="1"/>
    <col min="4" max="4" width="12.7109375" customWidth="1"/>
    <col min="5" max="5" width="16.85546875" style="1" customWidth="1"/>
    <col min="6" max="6" width="15.7109375" style="1" customWidth="1"/>
    <col min="7" max="8" width="11.42578125" style="9"/>
    <col min="9" max="9" width="14.42578125" style="1" customWidth="1"/>
    <col min="10" max="10" width="11.42578125" style="1"/>
    <col min="12" max="12" width="51" style="1" customWidth="1"/>
    <col min="13" max="13" width="11.42578125" style="9"/>
    <col min="14" max="14" width="11.42578125" style="1"/>
    <col min="16" max="16" width="27.5703125" customWidth="1"/>
    <col min="18" max="18" width="13" customWidth="1"/>
    <col min="19" max="19" width="15.42578125" customWidth="1"/>
    <col min="21" max="21" width="12.5703125" customWidth="1"/>
    <col min="22" max="22" width="13.28515625" customWidth="1"/>
    <col min="32" max="32" width="12.5703125" customWidth="1"/>
    <col min="33" max="33" width="11.42578125" style="1"/>
    <col min="37" max="37" width="13.140625" customWidth="1"/>
    <col min="38" max="38" width="14.28515625" customWidth="1"/>
    <col min="39" max="41" width="15" customWidth="1"/>
    <col min="44" max="44" width="51" style="1" customWidth="1"/>
    <col min="45" max="45" width="11.42578125" style="3"/>
    <col min="46" max="46" width="11.42578125" style="1"/>
    <col min="49" max="49" width="52.140625" customWidth="1"/>
    <col min="52" max="52" width="13.5703125" style="1" customWidth="1"/>
    <col min="53" max="53" width="11.42578125" style="1"/>
    <col min="54" max="60" width="12.7109375" customWidth="1"/>
    <col min="61" max="61" width="13.5703125" style="1" customWidth="1"/>
    <col min="257" max="257" width="15" customWidth="1"/>
    <col min="260" max="260" width="12.7109375" customWidth="1"/>
    <col min="262" max="262" width="15.7109375" customWidth="1"/>
    <col min="265" max="265" width="12" customWidth="1"/>
    <col min="268" max="268" width="51" customWidth="1"/>
    <col min="272" max="272" width="27.5703125" customWidth="1"/>
    <col min="274" max="274" width="13" customWidth="1"/>
    <col min="275" max="275" width="15.42578125" customWidth="1"/>
    <col min="277" max="277" width="12.5703125" customWidth="1"/>
    <col min="278" max="278" width="13.28515625" customWidth="1"/>
    <col min="288" max="288" width="12.5703125" customWidth="1"/>
    <col min="293" max="293" width="13.140625" customWidth="1"/>
    <col min="294" max="294" width="14.28515625" customWidth="1"/>
    <col min="295" max="297" width="15" customWidth="1"/>
    <col min="300" max="300" width="51" customWidth="1"/>
    <col min="305" max="305" width="52.140625" customWidth="1"/>
    <col min="308" max="308" width="13.5703125" customWidth="1"/>
    <col min="310" max="316" width="12.7109375" customWidth="1"/>
    <col min="317" max="317" width="13.5703125" customWidth="1"/>
    <col min="513" max="513" width="15" customWidth="1"/>
    <col min="516" max="516" width="12.7109375" customWidth="1"/>
    <col min="518" max="518" width="15.7109375" customWidth="1"/>
    <col min="521" max="521" width="12" customWidth="1"/>
    <col min="524" max="524" width="51" customWidth="1"/>
    <col min="528" max="528" width="27.5703125" customWidth="1"/>
    <col min="530" max="530" width="13" customWidth="1"/>
    <col min="531" max="531" width="15.42578125" customWidth="1"/>
    <col min="533" max="533" width="12.5703125" customWidth="1"/>
    <col min="534" max="534" width="13.28515625" customWidth="1"/>
    <col min="544" max="544" width="12.5703125" customWidth="1"/>
    <col min="549" max="549" width="13.140625" customWidth="1"/>
    <col min="550" max="550" width="14.28515625" customWidth="1"/>
    <col min="551" max="553" width="15" customWidth="1"/>
    <col min="556" max="556" width="51" customWidth="1"/>
    <col min="561" max="561" width="52.140625" customWidth="1"/>
    <col min="564" max="564" width="13.5703125" customWidth="1"/>
    <col min="566" max="572" width="12.7109375" customWidth="1"/>
    <col min="573" max="573" width="13.5703125" customWidth="1"/>
    <col min="769" max="769" width="15" customWidth="1"/>
    <col min="772" max="772" width="12.7109375" customWidth="1"/>
    <col min="774" max="774" width="15.7109375" customWidth="1"/>
    <col min="777" max="777" width="12" customWidth="1"/>
    <col min="780" max="780" width="51" customWidth="1"/>
    <col min="784" max="784" width="27.5703125" customWidth="1"/>
    <col min="786" max="786" width="13" customWidth="1"/>
    <col min="787" max="787" width="15.42578125" customWidth="1"/>
    <col min="789" max="789" width="12.5703125" customWidth="1"/>
    <col min="790" max="790" width="13.28515625" customWidth="1"/>
    <col min="800" max="800" width="12.5703125" customWidth="1"/>
    <col min="805" max="805" width="13.140625" customWidth="1"/>
    <col min="806" max="806" width="14.28515625" customWidth="1"/>
    <col min="807" max="809" width="15" customWidth="1"/>
    <col min="812" max="812" width="51" customWidth="1"/>
    <col min="817" max="817" width="52.140625" customWidth="1"/>
    <col min="820" max="820" width="13.5703125" customWidth="1"/>
    <col min="822" max="828" width="12.7109375" customWidth="1"/>
    <col min="829" max="829" width="13.5703125" customWidth="1"/>
    <col min="1025" max="1025" width="15" customWidth="1"/>
    <col min="1028" max="1028" width="12.7109375" customWidth="1"/>
    <col min="1030" max="1030" width="15.7109375" customWidth="1"/>
    <col min="1033" max="1033" width="12" customWidth="1"/>
    <col min="1036" max="1036" width="51" customWidth="1"/>
    <col min="1040" max="1040" width="27.5703125" customWidth="1"/>
    <col min="1042" max="1042" width="13" customWidth="1"/>
    <col min="1043" max="1043" width="15.42578125" customWidth="1"/>
    <col min="1045" max="1045" width="12.5703125" customWidth="1"/>
    <col min="1046" max="1046" width="13.28515625" customWidth="1"/>
    <col min="1056" max="1056" width="12.5703125" customWidth="1"/>
    <col min="1061" max="1061" width="13.140625" customWidth="1"/>
    <col min="1062" max="1062" width="14.28515625" customWidth="1"/>
    <col min="1063" max="1065" width="15" customWidth="1"/>
    <col min="1068" max="1068" width="51" customWidth="1"/>
    <col min="1073" max="1073" width="52.140625" customWidth="1"/>
    <col min="1076" max="1076" width="13.5703125" customWidth="1"/>
    <col min="1078" max="1084" width="12.7109375" customWidth="1"/>
    <col min="1085" max="1085" width="13.5703125" customWidth="1"/>
    <col min="1281" max="1281" width="15" customWidth="1"/>
    <col min="1284" max="1284" width="12.7109375" customWidth="1"/>
    <col min="1286" max="1286" width="15.7109375" customWidth="1"/>
    <col min="1289" max="1289" width="12" customWidth="1"/>
    <col min="1292" max="1292" width="51" customWidth="1"/>
    <col min="1296" max="1296" width="27.5703125" customWidth="1"/>
    <col min="1298" max="1298" width="13" customWidth="1"/>
    <col min="1299" max="1299" width="15.42578125" customWidth="1"/>
    <col min="1301" max="1301" width="12.5703125" customWidth="1"/>
    <col min="1302" max="1302" width="13.28515625" customWidth="1"/>
    <col min="1312" max="1312" width="12.5703125" customWidth="1"/>
    <col min="1317" max="1317" width="13.140625" customWidth="1"/>
    <col min="1318" max="1318" width="14.28515625" customWidth="1"/>
    <col min="1319" max="1321" width="15" customWidth="1"/>
    <col min="1324" max="1324" width="51" customWidth="1"/>
    <col min="1329" max="1329" width="52.140625" customWidth="1"/>
    <col min="1332" max="1332" width="13.5703125" customWidth="1"/>
    <col min="1334" max="1340" width="12.7109375" customWidth="1"/>
    <col min="1341" max="1341" width="13.5703125" customWidth="1"/>
    <col min="1537" max="1537" width="15" customWidth="1"/>
    <col min="1540" max="1540" width="12.7109375" customWidth="1"/>
    <col min="1542" max="1542" width="15.7109375" customWidth="1"/>
    <col min="1545" max="1545" width="12" customWidth="1"/>
    <col min="1548" max="1548" width="51" customWidth="1"/>
    <col min="1552" max="1552" width="27.5703125" customWidth="1"/>
    <col min="1554" max="1554" width="13" customWidth="1"/>
    <col min="1555" max="1555" width="15.42578125" customWidth="1"/>
    <col min="1557" max="1557" width="12.5703125" customWidth="1"/>
    <col min="1558" max="1558" width="13.28515625" customWidth="1"/>
    <col min="1568" max="1568" width="12.5703125" customWidth="1"/>
    <col min="1573" max="1573" width="13.140625" customWidth="1"/>
    <col min="1574" max="1574" width="14.28515625" customWidth="1"/>
    <col min="1575" max="1577" width="15" customWidth="1"/>
    <col min="1580" max="1580" width="51" customWidth="1"/>
    <col min="1585" max="1585" width="52.140625" customWidth="1"/>
    <col min="1588" max="1588" width="13.5703125" customWidth="1"/>
    <col min="1590" max="1596" width="12.7109375" customWidth="1"/>
    <col min="1597" max="1597" width="13.5703125" customWidth="1"/>
    <col min="1793" max="1793" width="15" customWidth="1"/>
    <col min="1796" max="1796" width="12.7109375" customWidth="1"/>
    <col min="1798" max="1798" width="15.7109375" customWidth="1"/>
    <col min="1801" max="1801" width="12" customWidth="1"/>
    <col min="1804" max="1804" width="51" customWidth="1"/>
    <col min="1808" max="1808" width="27.5703125" customWidth="1"/>
    <col min="1810" max="1810" width="13" customWidth="1"/>
    <col min="1811" max="1811" width="15.42578125" customWidth="1"/>
    <col min="1813" max="1813" width="12.5703125" customWidth="1"/>
    <col min="1814" max="1814" width="13.28515625" customWidth="1"/>
    <col min="1824" max="1824" width="12.5703125" customWidth="1"/>
    <col min="1829" max="1829" width="13.140625" customWidth="1"/>
    <col min="1830" max="1830" width="14.28515625" customWidth="1"/>
    <col min="1831" max="1833" width="15" customWidth="1"/>
    <col min="1836" max="1836" width="51" customWidth="1"/>
    <col min="1841" max="1841" width="52.140625" customWidth="1"/>
    <col min="1844" max="1844" width="13.5703125" customWidth="1"/>
    <col min="1846" max="1852" width="12.7109375" customWidth="1"/>
    <col min="1853" max="1853" width="13.5703125" customWidth="1"/>
    <col min="2049" max="2049" width="15" customWidth="1"/>
    <col min="2052" max="2052" width="12.7109375" customWidth="1"/>
    <col min="2054" max="2054" width="15.7109375" customWidth="1"/>
    <col min="2057" max="2057" width="12" customWidth="1"/>
    <col min="2060" max="2060" width="51" customWidth="1"/>
    <col min="2064" max="2064" width="27.5703125" customWidth="1"/>
    <col min="2066" max="2066" width="13" customWidth="1"/>
    <col min="2067" max="2067" width="15.42578125" customWidth="1"/>
    <col min="2069" max="2069" width="12.5703125" customWidth="1"/>
    <col min="2070" max="2070" width="13.28515625" customWidth="1"/>
    <col min="2080" max="2080" width="12.5703125" customWidth="1"/>
    <col min="2085" max="2085" width="13.140625" customWidth="1"/>
    <col min="2086" max="2086" width="14.28515625" customWidth="1"/>
    <col min="2087" max="2089" width="15" customWidth="1"/>
    <col min="2092" max="2092" width="51" customWidth="1"/>
    <col min="2097" max="2097" width="52.140625" customWidth="1"/>
    <col min="2100" max="2100" width="13.5703125" customWidth="1"/>
    <col min="2102" max="2108" width="12.7109375" customWidth="1"/>
    <col min="2109" max="2109" width="13.5703125" customWidth="1"/>
    <col min="2305" max="2305" width="15" customWidth="1"/>
    <col min="2308" max="2308" width="12.7109375" customWidth="1"/>
    <col min="2310" max="2310" width="15.7109375" customWidth="1"/>
    <col min="2313" max="2313" width="12" customWidth="1"/>
    <col min="2316" max="2316" width="51" customWidth="1"/>
    <col min="2320" max="2320" width="27.5703125" customWidth="1"/>
    <col min="2322" max="2322" width="13" customWidth="1"/>
    <col min="2323" max="2323" width="15.42578125" customWidth="1"/>
    <col min="2325" max="2325" width="12.5703125" customWidth="1"/>
    <col min="2326" max="2326" width="13.28515625" customWidth="1"/>
    <col min="2336" max="2336" width="12.5703125" customWidth="1"/>
    <col min="2341" max="2341" width="13.140625" customWidth="1"/>
    <col min="2342" max="2342" width="14.28515625" customWidth="1"/>
    <col min="2343" max="2345" width="15" customWidth="1"/>
    <col min="2348" max="2348" width="51" customWidth="1"/>
    <col min="2353" max="2353" width="52.140625" customWidth="1"/>
    <col min="2356" max="2356" width="13.5703125" customWidth="1"/>
    <col min="2358" max="2364" width="12.7109375" customWidth="1"/>
    <col min="2365" max="2365" width="13.5703125" customWidth="1"/>
    <col min="2561" max="2561" width="15" customWidth="1"/>
    <col min="2564" max="2564" width="12.7109375" customWidth="1"/>
    <col min="2566" max="2566" width="15.7109375" customWidth="1"/>
    <col min="2569" max="2569" width="12" customWidth="1"/>
    <col min="2572" max="2572" width="51" customWidth="1"/>
    <col min="2576" max="2576" width="27.5703125" customWidth="1"/>
    <col min="2578" max="2578" width="13" customWidth="1"/>
    <col min="2579" max="2579" width="15.42578125" customWidth="1"/>
    <col min="2581" max="2581" width="12.5703125" customWidth="1"/>
    <col min="2582" max="2582" width="13.28515625" customWidth="1"/>
    <col min="2592" max="2592" width="12.5703125" customWidth="1"/>
    <col min="2597" max="2597" width="13.140625" customWidth="1"/>
    <col min="2598" max="2598" width="14.28515625" customWidth="1"/>
    <col min="2599" max="2601" width="15" customWidth="1"/>
    <col min="2604" max="2604" width="51" customWidth="1"/>
    <col min="2609" max="2609" width="52.140625" customWidth="1"/>
    <col min="2612" max="2612" width="13.5703125" customWidth="1"/>
    <col min="2614" max="2620" width="12.7109375" customWidth="1"/>
    <col min="2621" max="2621" width="13.5703125" customWidth="1"/>
    <col min="2817" max="2817" width="15" customWidth="1"/>
    <col min="2820" max="2820" width="12.7109375" customWidth="1"/>
    <col min="2822" max="2822" width="15.7109375" customWidth="1"/>
    <col min="2825" max="2825" width="12" customWidth="1"/>
    <col min="2828" max="2828" width="51" customWidth="1"/>
    <col min="2832" max="2832" width="27.5703125" customWidth="1"/>
    <col min="2834" max="2834" width="13" customWidth="1"/>
    <col min="2835" max="2835" width="15.42578125" customWidth="1"/>
    <col min="2837" max="2837" width="12.5703125" customWidth="1"/>
    <col min="2838" max="2838" width="13.28515625" customWidth="1"/>
    <col min="2848" max="2848" width="12.5703125" customWidth="1"/>
    <col min="2853" max="2853" width="13.140625" customWidth="1"/>
    <col min="2854" max="2854" width="14.28515625" customWidth="1"/>
    <col min="2855" max="2857" width="15" customWidth="1"/>
    <col min="2860" max="2860" width="51" customWidth="1"/>
    <col min="2865" max="2865" width="52.140625" customWidth="1"/>
    <col min="2868" max="2868" width="13.5703125" customWidth="1"/>
    <col min="2870" max="2876" width="12.7109375" customWidth="1"/>
    <col min="2877" max="2877" width="13.5703125" customWidth="1"/>
    <col min="3073" max="3073" width="15" customWidth="1"/>
    <col min="3076" max="3076" width="12.7109375" customWidth="1"/>
    <col min="3078" max="3078" width="15.7109375" customWidth="1"/>
    <col min="3081" max="3081" width="12" customWidth="1"/>
    <col min="3084" max="3084" width="51" customWidth="1"/>
    <col min="3088" max="3088" width="27.5703125" customWidth="1"/>
    <col min="3090" max="3090" width="13" customWidth="1"/>
    <col min="3091" max="3091" width="15.42578125" customWidth="1"/>
    <col min="3093" max="3093" width="12.5703125" customWidth="1"/>
    <col min="3094" max="3094" width="13.28515625" customWidth="1"/>
    <col min="3104" max="3104" width="12.5703125" customWidth="1"/>
    <col min="3109" max="3109" width="13.140625" customWidth="1"/>
    <col min="3110" max="3110" width="14.28515625" customWidth="1"/>
    <col min="3111" max="3113" width="15" customWidth="1"/>
    <col min="3116" max="3116" width="51" customWidth="1"/>
    <col min="3121" max="3121" width="52.140625" customWidth="1"/>
    <col min="3124" max="3124" width="13.5703125" customWidth="1"/>
    <col min="3126" max="3132" width="12.7109375" customWidth="1"/>
    <col min="3133" max="3133" width="13.5703125" customWidth="1"/>
    <col min="3329" max="3329" width="15" customWidth="1"/>
    <col min="3332" max="3332" width="12.7109375" customWidth="1"/>
    <col min="3334" max="3334" width="15.7109375" customWidth="1"/>
    <col min="3337" max="3337" width="12" customWidth="1"/>
    <col min="3340" max="3340" width="51" customWidth="1"/>
    <col min="3344" max="3344" width="27.5703125" customWidth="1"/>
    <col min="3346" max="3346" width="13" customWidth="1"/>
    <col min="3347" max="3347" width="15.42578125" customWidth="1"/>
    <col min="3349" max="3349" width="12.5703125" customWidth="1"/>
    <col min="3350" max="3350" width="13.28515625" customWidth="1"/>
    <col min="3360" max="3360" width="12.5703125" customWidth="1"/>
    <col min="3365" max="3365" width="13.140625" customWidth="1"/>
    <col min="3366" max="3366" width="14.28515625" customWidth="1"/>
    <col min="3367" max="3369" width="15" customWidth="1"/>
    <col min="3372" max="3372" width="51" customWidth="1"/>
    <col min="3377" max="3377" width="52.140625" customWidth="1"/>
    <col min="3380" max="3380" width="13.5703125" customWidth="1"/>
    <col min="3382" max="3388" width="12.7109375" customWidth="1"/>
    <col min="3389" max="3389" width="13.5703125" customWidth="1"/>
    <col min="3585" max="3585" width="15" customWidth="1"/>
    <col min="3588" max="3588" width="12.7109375" customWidth="1"/>
    <col min="3590" max="3590" width="15.7109375" customWidth="1"/>
    <col min="3593" max="3593" width="12" customWidth="1"/>
    <col min="3596" max="3596" width="51" customWidth="1"/>
    <col min="3600" max="3600" width="27.5703125" customWidth="1"/>
    <col min="3602" max="3602" width="13" customWidth="1"/>
    <col min="3603" max="3603" width="15.42578125" customWidth="1"/>
    <col min="3605" max="3605" width="12.5703125" customWidth="1"/>
    <col min="3606" max="3606" width="13.28515625" customWidth="1"/>
    <col min="3616" max="3616" width="12.5703125" customWidth="1"/>
    <col min="3621" max="3621" width="13.140625" customWidth="1"/>
    <col min="3622" max="3622" width="14.28515625" customWidth="1"/>
    <col min="3623" max="3625" width="15" customWidth="1"/>
    <col min="3628" max="3628" width="51" customWidth="1"/>
    <col min="3633" max="3633" width="52.140625" customWidth="1"/>
    <col min="3636" max="3636" width="13.5703125" customWidth="1"/>
    <col min="3638" max="3644" width="12.7109375" customWidth="1"/>
    <col min="3645" max="3645" width="13.5703125" customWidth="1"/>
    <col min="3841" max="3841" width="15" customWidth="1"/>
    <col min="3844" max="3844" width="12.7109375" customWidth="1"/>
    <col min="3846" max="3846" width="15.7109375" customWidth="1"/>
    <col min="3849" max="3849" width="12" customWidth="1"/>
    <col min="3852" max="3852" width="51" customWidth="1"/>
    <col min="3856" max="3856" width="27.5703125" customWidth="1"/>
    <col min="3858" max="3858" width="13" customWidth="1"/>
    <col min="3859" max="3859" width="15.42578125" customWidth="1"/>
    <col min="3861" max="3861" width="12.5703125" customWidth="1"/>
    <col min="3862" max="3862" width="13.28515625" customWidth="1"/>
    <col min="3872" max="3872" width="12.5703125" customWidth="1"/>
    <col min="3877" max="3877" width="13.140625" customWidth="1"/>
    <col min="3878" max="3878" width="14.28515625" customWidth="1"/>
    <col min="3879" max="3881" width="15" customWidth="1"/>
    <col min="3884" max="3884" width="51" customWidth="1"/>
    <col min="3889" max="3889" width="52.140625" customWidth="1"/>
    <col min="3892" max="3892" width="13.5703125" customWidth="1"/>
    <col min="3894" max="3900" width="12.7109375" customWidth="1"/>
    <col min="3901" max="3901" width="13.5703125" customWidth="1"/>
    <col min="4097" max="4097" width="15" customWidth="1"/>
    <col min="4100" max="4100" width="12.7109375" customWidth="1"/>
    <col min="4102" max="4102" width="15.7109375" customWidth="1"/>
    <col min="4105" max="4105" width="12" customWidth="1"/>
    <col min="4108" max="4108" width="51" customWidth="1"/>
    <col min="4112" max="4112" width="27.5703125" customWidth="1"/>
    <col min="4114" max="4114" width="13" customWidth="1"/>
    <col min="4115" max="4115" width="15.42578125" customWidth="1"/>
    <col min="4117" max="4117" width="12.5703125" customWidth="1"/>
    <col min="4118" max="4118" width="13.28515625" customWidth="1"/>
    <col min="4128" max="4128" width="12.5703125" customWidth="1"/>
    <col min="4133" max="4133" width="13.140625" customWidth="1"/>
    <col min="4134" max="4134" width="14.28515625" customWidth="1"/>
    <col min="4135" max="4137" width="15" customWidth="1"/>
    <col min="4140" max="4140" width="51" customWidth="1"/>
    <col min="4145" max="4145" width="52.140625" customWidth="1"/>
    <col min="4148" max="4148" width="13.5703125" customWidth="1"/>
    <col min="4150" max="4156" width="12.7109375" customWidth="1"/>
    <col min="4157" max="4157" width="13.5703125" customWidth="1"/>
    <col min="4353" max="4353" width="15" customWidth="1"/>
    <col min="4356" max="4356" width="12.7109375" customWidth="1"/>
    <col min="4358" max="4358" width="15.7109375" customWidth="1"/>
    <col min="4361" max="4361" width="12" customWidth="1"/>
    <col min="4364" max="4364" width="51" customWidth="1"/>
    <col min="4368" max="4368" width="27.5703125" customWidth="1"/>
    <col min="4370" max="4370" width="13" customWidth="1"/>
    <col min="4371" max="4371" width="15.42578125" customWidth="1"/>
    <col min="4373" max="4373" width="12.5703125" customWidth="1"/>
    <col min="4374" max="4374" width="13.28515625" customWidth="1"/>
    <col min="4384" max="4384" width="12.5703125" customWidth="1"/>
    <col min="4389" max="4389" width="13.140625" customWidth="1"/>
    <col min="4390" max="4390" width="14.28515625" customWidth="1"/>
    <col min="4391" max="4393" width="15" customWidth="1"/>
    <col min="4396" max="4396" width="51" customWidth="1"/>
    <col min="4401" max="4401" width="52.140625" customWidth="1"/>
    <col min="4404" max="4404" width="13.5703125" customWidth="1"/>
    <col min="4406" max="4412" width="12.7109375" customWidth="1"/>
    <col min="4413" max="4413" width="13.5703125" customWidth="1"/>
    <col min="4609" max="4609" width="15" customWidth="1"/>
    <col min="4612" max="4612" width="12.7109375" customWidth="1"/>
    <col min="4614" max="4614" width="15.7109375" customWidth="1"/>
    <col min="4617" max="4617" width="12" customWidth="1"/>
    <col min="4620" max="4620" width="51" customWidth="1"/>
    <col min="4624" max="4624" width="27.5703125" customWidth="1"/>
    <col min="4626" max="4626" width="13" customWidth="1"/>
    <col min="4627" max="4627" width="15.42578125" customWidth="1"/>
    <col min="4629" max="4629" width="12.5703125" customWidth="1"/>
    <col min="4630" max="4630" width="13.28515625" customWidth="1"/>
    <col min="4640" max="4640" width="12.5703125" customWidth="1"/>
    <col min="4645" max="4645" width="13.140625" customWidth="1"/>
    <col min="4646" max="4646" width="14.28515625" customWidth="1"/>
    <col min="4647" max="4649" width="15" customWidth="1"/>
    <col min="4652" max="4652" width="51" customWidth="1"/>
    <col min="4657" max="4657" width="52.140625" customWidth="1"/>
    <col min="4660" max="4660" width="13.5703125" customWidth="1"/>
    <col min="4662" max="4668" width="12.7109375" customWidth="1"/>
    <col min="4669" max="4669" width="13.5703125" customWidth="1"/>
    <col min="4865" max="4865" width="15" customWidth="1"/>
    <col min="4868" max="4868" width="12.7109375" customWidth="1"/>
    <col min="4870" max="4870" width="15.7109375" customWidth="1"/>
    <col min="4873" max="4873" width="12" customWidth="1"/>
    <col min="4876" max="4876" width="51" customWidth="1"/>
    <col min="4880" max="4880" width="27.5703125" customWidth="1"/>
    <col min="4882" max="4882" width="13" customWidth="1"/>
    <col min="4883" max="4883" width="15.42578125" customWidth="1"/>
    <col min="4885" max="4885" width="12.5703125" customWidth="1"/>
    <col min="4886" max="4886" width="13.28515625" customWidth="1"/>
    <col min="4896" max="4896" width="12.5703125" customWidth="1"/>
    <col min="4901" max="4901" width="13.140625" customWidth="1"/>
    <col min="4902" max="4902" width="14.28515625" customWidth="1"/>
    <col min="4903" max="4905" width="15" customWidth="1"/>
    <col min="4908" max="4908" width="51" customWidth="1"/>
    <col min="4913" max="4913" width="52.140625" customWidth="1"/>
    <col min="4916" max="4916" width="13.5703125" customWidth="1"/>
    <col min="4918" max="4924" width="12.7109375" customWidth="1"/>
    <col min="4925" max="4925" width="13.5703125" customWidth="1"/>
    <col min="5121" max="5121" width="15" customWidth="1"/>
    <col min="5124" max="5124" width="12.7109375" customWidth="1"/>
    <col min="5126" max="5126" width="15.7109375" customWidth="1"/>
    <col min="5129" max="5129" width="12" customWidth="1"/>
    <col min="5132" max="5132" width="51" customWidth="1"/>
    <col min="5136" max="5136" width="27.5703125" customWidth="1"/>
    <col min="5138" max="5138" width="13" customWidth="1"/>
    <col min="5139" max="5139" width="15.42578125" customWidth="1"/>
    <col min="5141" max="5141" width="12.5703125" customWidth="1"/>
    <col min="5142" max="5142" width="13.28515625" customWidth="1"/>
    <col min="5152" max="5152" width="12.5703125" customWidth="1"/>
    <col min="5157" max="5157" width="13.140625" customWidth="1"/>
    <col min="5158" max="5158" width="14.28515625" customWidth="1"/>
    <col min="5159" max="5161" width="15" customWidth="1"/>
    <col min="5164" max="5164" width="51" customWidth="1"/>
    <col min="5169" max="5169" width="52.140625" customWidth="1"/>
    <col min="5172" max="5172" width="13.5703125" customWidth="1"/>
    <col min="5174" max="5180" width="12.7109375" customWidth="1"/>
    <col min="5181" max="5181" width="13.5703125" customWidth="1"/>
    <col min="5377" max="5377" width="15" customWidth="1"/>
    <col min="5380" max="5380" width="12.7109375" customWidth="1"/>
    <col min="5382" max="5382" width="15.7109375" customWidth="1"/>
    <col min="5385" max="5385" width="12" customWidth="1"/>
    <col min="5388" max="5388" width="51" customWidth="1"/>
    <col min="5392" max="5392" width="27.5703125" customWidth="1"/>
    <col min="5394" max="5394" width="13" customWidth="1"/>
    <col min="5395" max="5395" width="15.42578125" customWidth="1"/>
    <col min="5397" max="5397" width="12.5703125" customWidth="1"/>
    <col min="5398" max="5398" width="13.28515625" customWidth="1"/>
    <col min="5408" max="5408" width="12.5703125" customWidth="1"/>
    <col min="5413" max="5413" width="13.140625" customWidth="1"/>
    <col min="5414" max="5414" width="14.28515625" customWidth="1"/>
    <col min="5415" max="5417" width="15" customWidth="1"/>
    <col min="5420" max="5420" width="51" customWidth="1"/>
    <col min="5425" max="5425" width="52.140625" customWidth="1"/>
    <col min="5428" max="5428" width="13.5703125" customWidth="1"/>
    <col min="5430" max="5436" width="12.7109375" customWidth="1"/>
    <col min="5437" max="5437" width="13.5703125" customWidth="1"/>
    <col min="5633" max="5633" width="15" customWidth="1"/>
    <col min="5636" max="5636" width="12.7109375" customWidth="1"/>
    <col min="5638" max="5638" width="15.7109375" customWidth="1"/>
    <col min="5641" max="5641" width="12" customWidth="1"/>
    <col min="5644" max="5644" width="51" customWidth="1"/>
    <col min="5648" max="5648" width="27.5703125" customWidth="1"/>
    <col min="5650" max="5650" width="13" customWidth="1"/>
    <col min="5651" max="5651" width="15.42578125" customWidth="1"/>
    <col min="5653" max="5653" width="12.5703125" customWidth="1"/>
    <col min="5654" max="5654" width="13.28515625" customWidth="1"/>
    <col min="5664" max="5664" width="12.5703125" customWidth="1"/>
    <col min="5669" max="5669" width="13.140625" customWidth="1"/>
    <col min="5670" max="5670" width="14.28515625" customWidth="1"/>
    <col min="5671" max="5673" width="15" customWidth="1"/>
    <col min="5676" max="5676" width="51" customWidth="1"/>
    <col min="5681" max="5681" width="52.140625" customWidth="1"/>
    <col min="5684" max="5684" width="13.5703125" customWidth="1"/>
    <col min="5686" max="5692" width="12.7109375" customWidth="1"/>
    <col min="5693" max="5693" width="13.5703125" customWidth="1"/>
    <col min="5889" max="5889" width="15" customWidth="1"/>
    <col min="5892" max="5892" width="12.7109375" customWidth="1"/>
    <col min="5894" max="5894" width="15.7109375" customWidth="1"/>
    <col min="5897" max="5897" width="12" customWidth="1"/>
    <col min="5900" max="5900" width="51" customWidth="1"/>
    <col min="5904" max="5904" width="27.5703125" customWidth="1"/>
    <col min="5906" max="5906" width="13" customWidth="1"/>
    <col min="5907" max="5907" width="15.42578125" customWidth="1"/>
    <col min="5909" max="5909" width="12.5703125" customWidth="1"/>
    <col min="5910" max="5910" width="13.28515625" customWidth="1"/>
    <col min="5920" max="5920" width="12.5703125" customWidth="1"/>
    <col min="5925" max="5925" width="13.140625" customWidth="1"/>
    <col min="5926" max="5926" width="14.28515625" customWidth="1"/>
    <col min="5927" max="5929" width="15" customWidth="1"/>
    <col min="5932" max="5932" width="51" customWidth="1"/>
    <col min="5937" max="5937" width="52.140625" customWidth="1"/>
    <col min="5940" max="5940" width="13.5703125" customWidth="1"/>
    <col min="5942" max="5948" width="12.7109375" customWidth="1"/>
    <col min="5949" max="5949" width="13.5703125" customWidth="1"/>
    <col min="6145" max="6145" width="15" customWidth="1"/>
    <col min="6148" max="6148" width="12.7109375" customWidth="1"/>
    <col min="6150" max="6150" width="15.7109375" customWidth="1"/>
    <col min="6153" max="6153" width="12" customWidth="1"/>
    <col min="6156" max="6156" width="51" customWidth="1"/>
    <col min="6160" max="6160" width="27.5703125" customWidth="1"/>
    <col min="6162" max="6162" width="13" customWidth="1"/>
    <col min="6163" max="6163" width="15.42578125" customWidth="1"/>
    <col min="6165" max="6165" width="12.5703125" customWidth="1"/>
    <col min="6166" max="6166" width="13.28515625" customWidth="1"/>
    <col min="6176" max="6176" width="12.5703125" customWidth="1"/>
    <col min="6181" max="6181" width="13.140625" customWidth="1"/>
    <col min="6182" max="6182" width="14.28515625" customWidth="1"/>
    <col min="6183" max="6185" width="15" customWidth="1"/>
    <col min="6188" max="6188" width="51" customWidth="1"/>
    <col min="6193" max="6193" width="52.140625" customWidth="1"/>
    <col min="6196" max="6196" width="13.5703125" customWidth="1"/>
    <col min="6198" max="6204" width="12.7109375" customWidth="1"/>
    <col min="6205" max="6205" width="13.5703125" customWidth="1"/>
    <col min="6401" max="6401" width="15" customWidth="1"/>
    <col min="6404" max="6404" width="12.7109375" customWidth="1"/>
    <col min="6406" max="6406" width="15.7109375" customWidth="1"/>
    <col min="6409" max="6409" width="12" customWidth="1"/>
    <col min="6412" max="6412" width="51" customWidth="1"/>
    <col min="6416" max="6416" width="27.5703125" customWidth="1"/>
    <col min="6418" max="6418" width="13" customWidth="1"/>
    <col min="6419" max="6419" width="15.42578125" customWidth="1"/>
    <col min="6421" max="6421" width="12.5703125" customWidth="1"/>
    <col min="6422" max="6422" width="13.28515625" customWidth="1"/>
    <col min="6432" max="6432" width="12.5703125" customWidth="1"/>
    <col min="6437" max="6437" width="13.140625" customWidth="1"/>
    <col min="6438" max="6438" width="14.28515625" customWidth="1"/>
    <col min="6439" max="6441" width="15" customWidth="1"/>
    <col min="6444" max="6444" width="51" customWidth="1"/>
    <col min="6449" max="6449" width="52.140625" customWidth="1"/>
    <col min="6452" max="6452" width="13.5703125" customWidth="1"/>
    <col min="6454" max="6460" width="12.7109375" customWidth="1"/>
    <col min="6461" max="6461" width="13.5703125" customWidth="1"/>
    <col min="6657" max="6657" width="15" customWidth="1"/>
    <col min="6660" max="6660" width="12.7109375" customWidth="1"/>
    <col min="6662" max="6662" width="15.7109375" customWidth="1"/>
    <col min="6665" max="6665" width="12" customWidth="1"/>
    <col min="6668" max="6668" width="51" customWidth="1"/>
    <col min="6672" max="6672" width="27.5703125" customWidth="1"/>
    <col min="6674" max="6674" width="13" customWidth="1"/>
    <col min="6675" max="6675" width="15.42578125" customWidth="1"/>
    <col min="6677" max="6677" width="12.5703125" customWidth="1"/>
    <col min="6678" max="6678" width="13.28515625" customWidth="1"/>
    <col min="6688" max="6688" width="12.5703125" customWidth="1"/>
    <col min="6693" max="6693" width="13.140625" customWidth="1"/>
    <col min="6694" max="6694" width="14.28515625" customWidth="1"/>
    <col min="6695" max="6697" width="15" customWidth="1"/>
    <col min="6700" max="6700" width="51" customWidth="1"/>
    <col min="6705" max="6705" width="52.140625" customWidth="1"/>
    <col min="6708" max="6708" width="13.5703125" customWidth="1"/>
    <col min="6710" max="6716" width="12.7109375" customWidth="1"/>
    <col min="6717" max="6717" width="13.5703125" customWidth="1"/>
    <col min="6913" max="6913" width="15" customWidth="1"/>
    <col min="6916" max="6916" width="12.7109375" customWidth="1"/>
    <col min="6918" max="6918" width="15.7109375" customWidth="1"/>
    <col min="6921" max="6921" width="12" customWidth="1"/>
    <col min="6924" max="6924" width="51" customWidth="1"/>
    <col min="6928" max="6928" width="27.5703125" customWidth="1"/>
    <col min="6930" max="6930" width="13" customWidth="1"/>
    <col min="6931" max="6931" width="15.42578125" customWidth="1"/>
    <col min="6933" max="6933" width="12.5703125" customWidth="1"/>
    <col min="6934" max="6934" width="13.28515625" customWidth="1"/>
    <col min="6944" max="6944" width="12.5703125" customWidth="1"/>
    <col min="6949" max="6949" width="13.140625" customWidth="1"/>
    <col min="6950" max="6950" width="14.28515625" customWidth="1"/>
    <col min="6951" max="6953" width="15" customWidth="1"/>
    <col min="6956" max="6956" width="51" customWidth="1"/>
    <col min="6961" max="6961" width="52.140625" customWidth="1"/>
    <col min="6964" max="6964" width="13.5703125" customWidth="1"/>
    <col min="6966" max="6972" width="12.7109375" customWidth="1"/>
    <col min="6973" max="6973" width="13.5703125" customWidth="1"/>
    <col min="7169" max="7169" width="15" customWidth="1"/>
    <col min="7172" max="7172" width="12.7109375" customWidth="1"/>
    <col min="7174" max="7174" width="15.7109375" customWidth="1"/>
    <col min="7177" max="7177" width="12" customWidth="1"/>
    <col min="7180" max="7180" width="51" customWidth="1"/>
    <col min="7184" max="7184" width="27.5703125" customWidth="1"/>
    <col min="7186" max="7186" width="13" customWidth="1"/>
    <col min="7187" max="7187" width="15.42578125" customWidth="1"/>
    <col min="7189" max="7189" width="12.5703125" customWidth="1"/>
    <col min="7190" max="7190" width="13.28515625" customWidth="1"/>
    <col min="7200" max="7200" width="12.5703125" customWidth="1"/>
    <col min="7205" max="7205" width="13.140625" customWidth="1"/>
    <col min="7206" max="7206" width="14.28515625" customWidth="1"/>
    <col min="7207" max="7209" width="15" customWidth="1"/>
    <col min="7212" max="7212" width="51" customWidth="1"/>
    <col min="7217" max="7217" width="52.140625" customWidth="1"/>
    <col min="7220" max="7220" width="13.5703125" customWidth="1"/>
    <col min="7222" max="7228" width="12.7109375" customWidth="1"/>
    <col min="7229" max="7229" width="13.5703125" customWidth="1"/>
    <col min="7425" max="7425" width="15" customWidth="1"/>
    <col min="7428" max="7428" width="12.7109375" customWidth="1"/>
    <col min="7430" max="7430" width="15.7109375" customWidth="1"/>
    <col min="7433" max="7433" width="12" customWidth="1"/>
    <col min="7436" max="7436" width="51" customWidth="1"/>
    <col min="7440" max="7440" width="27.5703125" customWidth="1"/>
    <col min="7442" max="7442" width="13" customWidth="1"/>
    <col min="7443" max="7443" width="15.42578125" customWidth="1"/>
    <col min="7445" max="7445" width="12.5703125" customWidth="1"/>
    <col min="7446" max="7446" width="13.28515625" customWidth="1"/>
    <col min="7456" max="7456" width="12.5703125" customWidth="1"/>
    <col min="7461" max="7461" width="13.140625" customWidth="1"/>
    <col min="7462" max="7462" width="14.28515625" customWidth="1"/>
    <col min="7463" max="7465" width="15" customWidth="1"/>
    <col min="7468" max="7468" width="51" customWidth="1"/>
    <col min="7473" max="7473" width="52.140625" customWidth="1"/>
    <col min="7476" max="7476" width="13.5703125" customWidth="1"/>
    <col min="7478" max="7484" width="12.7109375" customWidth="1"/>
    <col min="7485" max="7485" width="13.5703125" customWidth="1"/>
    <col min="7681" max="7681" width="15" customWidth="1"/>
    <col min="7684" max="7684" width="12.7109375" customWidth="1"/>
    <col min="7686" max="7686" width="15.7109375" customWidth="1"/>
    <col min="7689" max="7689" width="12" customWidth="1"/>
    <col min="7692" max="7692" width="51" customWidth="1"/>
    <col min="7696" max="7696" width="27.5703125" customWidth="1"/>
    <col min="7698" max="7698" width="13" customWidth="1"/>
    <col min="7699" max="7699" width="15.42578125" customWidth="1"/>
    <col min="7701" max="7701" width="12.5703125" customWidth="1"/>
    <col min="7702" max="7702" width="13.28515625" customWidth="1"/>
    <col min="7712" max="7712" width="12.5703125" customWidth="1"/>
    <col min="7717" max="7717" width="13.140625" customWidth="1"/>
    <col min="7718" max="7718" width="14.28515625" customWidth="1"/>
    <col min="7719" max="7721" width="15" customWidth="1"/>
    <col min="7724" max="7724" width="51" customWidth="1"/>
    <col min="7729" max="7729" width="52.140625" customWidth="1"/>
    <col min="7732" max="7732" width="13.5703125" customWidth="1"/>
    <col min="7734" max="7740" width="12.7109375" customWidth="1"/>
    <col min="7741" max="7741" width="13.5703125" customWidth="1"/>
    <col min="7937" max="7937" width="15" customWidth="1"/>
    <col min="7940" max="7940" width="12.7109375" customWidth="1"/>
    <col min="7942" max="7942" width="15.7109375" customWidth="1"/>
    <col min="7945" max="7945" width="12" customWidth="1"/>
    <col min="7948" max="7948" width="51" customWidth="1"/>
    <col min="7952" max="7952" width="27.5703125" customWidth="1"/>
    <col min="7954" max="7954" width="13" customWidth="1"/>
    <col min="7955" max="7955" width="15.42578125" customWidth="1"/>
    <col min="7957" max="7957" width="12.5703125" customWidth="1"/>
    <col min="7958" max="7958" width="13.28515625" customWidth="1"/>
    <col min="7968" max="7968" width="12.5703125" customWidth="1"/>
    <col min="7973" max="7973" width="13.140625" customWidth="1"/>
    <col min="7974" max="7974" width="14.28515625" customWidth="1"/>
    <col min="7975" max="7977" width="15" customWidth="1"/>
    <col min="7980" max="7980" width="51" customWidth="1"/>
    <col min="7985" max="7985" width="52.140625" customWidth="1"/>
    <col min="7988" max="7988" width="13.5703125" customWidth="1"/>
    <col min="7990" max="7996" width="12.7109375" customWidth="1"/>
    <col min="7997" max="7997" width="13.5703125" customWidth="1"/>
    <col min="8193" max="8193" width="15" customWidth="1"/>
    <col min="8196" max="8196" width="12.7109375" customWidth="1"/>
    <col min="8198" max="8198" width="15.7109375" customWidth="1"/>
    <col min="8201" max="8201" width="12" customWidth="1"/>
    <col min="8204" max="8204" width="51" customWidth="1"/>
    <col min="8208" max="8208" width="27.5703125" customWidth="1"/>
    <col min="8210" max="8210" width="13" customWidth="1"/>
    <col min="8211" max="8211" width="15.42578125" customWidth="1"/>
    <col min="8213" max="8213" width="12.5703125" customWidth="1"/>
    <col min="8214" max="8214" width="13.28515625" customWidth="1"/>
    <col min="8224" max="8224" width="12.5703125" customWidth="1"/>
    <col min="8229" max="8229" width="13.140625" customWidth="1"/>
    <col min="8230" max="8230" width="14.28515625" customWidth="1"/>
    <col min="8231" max="8233" width="15" customWidth="1"/>
    <col min="8236" max="8236" width="51" customWidth="1"/>
    <col min="8241" max="8241" width="52.140625" customWidth="1"/>
    <col min="8244" max="8244" width="13.5703125" customWidth="1"/>
    <col min="8246" max="8252" width="12.7109375" customWidth="1"/>
    <col min="8253" max="8253" width="13.5703125" customWidth="1"/>
    <col min="8449" max="8449" width="15" customWidth="1"/>
    <col min="8452" max="8452" width="12.7109375" customWidth="1"/>
    <col min="8454" max="8454" width="15.7109375" customWidth="1"/>
    <col min="8457" max="8457" width="12" customWidth="1"/>
    <col min="8460" max="8460" width="51" customWidth="1"/>
    <col min="8464" max="8464" width="27.5703125" customWidth="1"/>
    <col min="8466" max="8466" width="13" customWidth="1"/>
    <col min="8467" max="8467" width="15.42578125" customWidth="1"/>
    <col min="8469" max="8469" width="12.5703125" customWidth="1"/>
    <col min="8470" max="8470" width="13.28515625" customWidth="1"/>
    <col min="8480" max="8480" width="12.5703125" customWidth="1"/>
    <col min="8485" max="8485" width="13.140625" customWidth="1"/>
    <col min="8486" max="8486" width="14.28515625" customWidth="1"/>
    <col min="8487" max="8489" width="15" customWidth="1"/>
    <col min="8492" max="8492" width="51" customWidth="1"/>
    <col min="8497" max="8497" width="52.140625" customWidth="1"/>
    <col min="8500" max="8500" width="13.5703125" customWidth="1"/>
    <col min="8502" max="8508" width="12.7109375" customWidth="1"/>
    <col min="8509" max="8509" width="13.5703125" customWidth="1"/>
    <col min="8705" max="8705" width="15" customWidth="1"/>
    <col min="8708" max="8708" width="12.7109375" customWidth="1"/>
    <col min="8710" max="8710" width="15.7109375" customWidth="1"/>
    <col min="8713" max="8713" width="12" customWidth="1"/>
    <col min="8716" max="8716" width="51" customWidth="1"/>
    <col min="8720" max="8720" width="27.5703125" customWidth="1"/>
    <col min="8722" max="8722" width="13" customWidth="1"/>
    <col min="8723" max="8723" width="15.42578125" customWidth="1"/>
    <col min="8725" max="8725" width="12.5703125" customWidth="1"/>
    <col min="8726" max="8726" width="13.28515625" customWidth="1"/>
    <col min="8736" max="8736" width="12.5703125" customWidth="1"/>
    <col min="8741" max="8741" width="13.140625" customWidth="1"/>
    <col min="8742" max="8742" width="14.28515625" customWidth="1"/>
    <col min="8743" max="8745" width="15" customWidth="1"/>
    <col min="8748" max="8748" width="51" customWidth="1"/>
    <col min="8753" max="8753" width="52.140625" customWidth="1"/>
    <col min="8756" max="8756" width="13.5703125" customWidth="1"/>
    <col min="8758" max="8764" width="12.7109375" customWidth="1"/>
    <col min="8765" max="8765" width="13.5703125" customWidth="1"/>
    <col min="8961" max="8961" width="15" customWidth="1"/>
    <col min="8964" max="8964" width="12.7109375" customWidth="1"/>
    <col min="8966" max="8966" width="15.7109375" customWidth="1"/>
    <col min="8969" max="8969" width="12" customWidth="1"/>
    <col min="8972" max="8972" width="51" customWidth="1"/>
    <col min="8976" max="8976" width="27.5703125" customWidth="1"/>
    <col min="8978" max="8978" width="13" customWidth="1"/>
    <col min="8979" max="8979" width="15.42578125" customWidth="1"/>
    <col min="8981" max="8981" width="12.5703125" customWidth="1"/>
    <col min="8982" max="8982" width="13.28515625" customWidth="1"/>
    <col min="8992" max="8992" width="12.5703125" customWidth="1"/>
    <col min="8997" max="8997" width="13.140625" customWidth="1"/>
    <col min="8998" max="8998" width="14.28515625" customWidth="1"/>
    <col min="8999" max="9001" width="15" customWidth="1"/>
    <col min="9004" max="9004" width="51" customWidth="1"/>
    <col min="9009" max="9009" width="52.140625" customWidth="1"/>
    <col min="9012" max="9012" width="13.5703125" customWidth="1"/>
    <col min="9014" max="9020" width="12.7109375" customWidth="1"/>
    <col min="9021" max="9021" width="13.5703125" customWidth="1"/>
    <col min="9217" max="9217" width="15" customWidth="1"/>
    <col min="9220" max="9220" width="12.7109375" customWidth="1"/>
    <col min="9222" max="9222" width="15.7109375" customWidth="1"/>
    <col min="9225" max="9225" width="12" customWidth="1"/>
    <col min="9228" max="9228" width="51" customWidth="1"/>
    <col min="9232" max="9232" width="27.5703125" customWidth="1"/>
    <col min="9234" max="9234" width="13" customWidth="1"/>
    <col min="9235" max="9235" width="15.42578125" customWidth="1"/>
    <col min="9237" max="9237" width="12.5703125" customWidth="1"/>
    <col min="9238" max="9238" width="13.28515625" customWidth="1"/>
    <col min="9248" max="9248" width="12.5703125" customWidth="1"/>
    <col min="9253" max="9253" width="13.140625" customWidth="1"/>
    <col min="9254" max="9254" width="14.28515625" customWidth="1"/>
    <col min="9255" max="9257" width="15" customWidth="1"/>
    <col min="9260" max="9260" width="51" customWidth="1"/>
    <col min="9265" max="9265" width="52.140625" customWidth="1"/>
    <col min="9268" max="9268" width="13.5703125" customWidth="1"/>
    <col min="9270" max="9276" width="12.7109375" customWidth="1"/>
    <col min="9277" max="9277" width="13.5703125" customWidth="1"/>
    <col min="9473" max="9473" width="15" customWidth="1"/>
    <col min="9476" max="9476" width="12.7109375" customWidth="1"/>
    <col min="9478" max="9478" width="15.7109375" customWidth="1"/>
    <col min="9481" max="9481" width="12" customWidth="1"/>
    <col min="9484" max="9484" width="51" customWidth="1"/>
    <col min="9488" max="9488" width="27.5703125" customWidth="1"/>
    <col min="9490" max="9490" width="13" customWidth="1"/>
    <col min="9491" max="9491" width="15.42578125" customWidth="1"/>
    <col min="9493" max="9493" width="12.5703125" customWidth="1"/>
    <col min="9494" max="9494" width="13.28515625" customWidth="1"/>
    <col min="9504" max="9504" width="12.5703125" customWidth="1"/>
    <col min="9509" max="9509" width="13.140625" customWidth="1"/>
    <col min="9510" max="9510" width="14.28515625" customWidth="1"/>
    <col min="9511" max="9513" width="15" customWidth="1"/>
    <col min="9516" max="9516" width="51" customWidth="1"/>
    <col min="9521" max="9521" width="52.140625" customWidth="1"/>
    <col min="9524" max="9524" width="13.5703125" customWidth="1"/>
    <col min="9526" max="9532" width="12.7109375" customWidth="1"/>
    <col min="9533" max="9533" width="13.5703125" customWidth="1"/>
    <col min="9729" max="9729" width="15" customWidth="1"/>
    <col min="9732" max="9732" width="12.7109375" customWidth="1"/>
    <col min="9734" max="9734" width="15.7109375" customWidth="1"/>
    <col min="9737" max="9737" width="12" customWidth="1"/>
    <col min="9740" max="9740" width="51" customWidth="1"/>
    <col min="9744" max="9744" width="27.5703125" customWidth="1"/>
    <col min="9746" max="9746" width="13" customWidth="1"/>
    <col min="9747" max="9747" width="15.42578125" customWidth="1"/>
    <col min="9749" max="9749" width="12.5703125" customWidth="1"/>
    <col min="9750" max="9750" width="13.28515625" customWidth="1"/>
    <col min="9760" max="9760" width="12.5703125" customWidth="1"/>
    <col min="9765" max="9765" width="13.140625" customWidth="1"/>
    <col min="9766" max="9766" width="14.28515625" customWidth="1"/>
    <col min="9767" max="9769" width="15" customWidth="1"/>
    <col min="9772" max="9772" width="51" customWidth="1"/>
    <col min="9777" max="9777" width="52.140625" customWidth="1"/>
    <col min="9780" max="9780" width="13.5703125" customWidth="1"/>
    <col min="9782" max="9788" width="12.7109375" customWidth="1"/>
    <col min="9789" max="9789" width="13.5703125" customWidth="1"/>
    <col min="9985" max="9985" width="15" customWidth="1"/>
    <col min="9988" max="9988" width="12.7109375" customWidth="1"/>
    <col min="9990" max="9990" width="15.7109375" customWidth="1"/>
    <col min="9993" max="9993" width="12" customWidth="1"/>
    <col min="9996" max="9996" width="51" customWidth="1"/>
    <col min="10000" max="10000" width="27.5703125" customWidth="1"/>
    <col min="10002" max="10002" width="13" customWidth="1"/>
    <col min="10003" max="10003" width="15.42578125" customWidth="1"/>
    <col min="10005" max="10005" width="12.5703125" customWidth="1"/>
    <col min="10006" max="10006" width="13.28515625" customWidth="1"/>
    <col min="10016" max="10016" width="12.5703125" customWidth="1"/>
    <col min="10021" max="10021" width="13.140625" customWidth="1"/>
    <col min="10022" max="10022" width="14.28515625" customWidth="1"/>
    <col min="10023" max="10025" width="15" customWidth="1"/>
    <col min="10028" max="10028" width="51" customWidth="1"/>
    <col min="10033" max="10033" width="52.140625" customWidth="1"/>
    <col min="10036" max="10036" width="13.5703125" customWidth="1"/>
    <col min="10038" max="10044" width="12.7109375" customWidth="1"/>
    <col min="10045" max="10045" width="13.5703125" customWidth="1"/>
    <col min="10241" max="10241" width="15" customWidth="1"/>
    <col min="10244" max="10244" width="12.7109375" customWidth="1"/>
    <col min="10246" max="10246" width="15.7109375" customWidth="1"/>
    <col min="10249" max="10249" width="12" customWidth="1"/>
    <col min="10252" max="10252" width="51" customWidth="1"/>
    <col min="10256" max="10256" width="27.5703125" customWidth="1"/>
    <col min="10258" max="10258" width="13" customWidth="1"/>
    <col min="10259" max="10259" width="15.42578125" customWidth="1"/>
    <col min="10261" max="10261" width="12.5703125" customWidth="1"/>
    <col min="10262" max="10262" width="13.28515625" customWidth="1"/>
    <col min="10272" max="10272" width="12.5703125" customWidth="1"/>
    <col min="10277" max="10277" width="13.140625" customWidth="1"/>
    <col min="10278" max="10278" width="14.28515625" customWidth="1"/>
    <col min="10279" max="10281" width="15" customWidth="1"/>
    <col min="10284" max="10284" width="51" customWidth="1"/>
    <col min="10289" max="10289" width="52.140625" customWidth="1"/>
    <col min="10292" max="10292" width="13.5703125" customWidth="1"/>
    <col min="10294" max="10300" width="12.7109375" customWidth="1"/>
    <col min="10301" max="10301" width="13.5703125" customWidth="1"/>
    <col min="10497" max="10497" width="15" customWidth="1"/>
    <col min="10500" max="10500" width="12.7109375" customWidth="1"/>
    <col min="10502" max="10502" width="15.7109375" customWidth="1"/>
    <col min="10505" max="10505" width="12" customWidth="1"/>
    <col min="10508" max="10508" width="51" customWidth="1"/>
    <col min="10512" max="10512" width="27.5703125" customWidth="1"/>
    <col min="10514" max="10514" width="13" customWidth="1"/>
    <col min="10515" max="10515" width="15.42578125" customWidth="1"/>
    <col min="10517" max="10517" width="12.5703125" customWidth="1"/>
    <col min="10518" max="10518" width="13.28515625" customWidth="1"/>
    <col min="10528" max="10528" width="12.5703125" customWidth="1"/>
    <col min="10533" max="10533" width="13.140625" customWidth="1"/>
    <col min="10534" max="10534" width="14.28515625" customWidth="1"/>
    <col min="10535" max="10537" width="15" customWidth="1"/>
    <col min="10540" max="10540" width="51" customWidth="1"/>
    <col min="10545" max="10545" width="52.140625" customWidth="1"/>
    <col min="10548" max="10548" width="13.5703125" customWidth="1"/>
    <col min="10550" max="10556" width="12.7109375" customWidth="1"/>
    <col min="10557" max="10557" width="13.5703125" customWidth="1"/>
    <col min="10753" max="10753" width="15" customWidth="1"/>
    <col min="10756" max="10756" width="12.7109375" customWidth="1"/>
    <col min="10758" max="10758" width="15.7109375" customWidth="1"/>
    <col min="10761" max="10761" width="12" customWidth="1"/>
    <col min="10764" max="10764" width="51" customWidth="1"/>
    <col min="10768" max="10768" width="27.5703125" customWidth="1"/>
    <col min="10770" max="10770" width="13" customWidth="1"/>
    <col min="10771" max="10771" width="15.42578125" customWidth="1"/>
    <col min="10773" max="10773" width="12.5703125" customWidth="1"/>
    <col min="10774" max="10774" width="13.28515625" customWidth="1"/>
    <col min="10784" max="10784" width="12.5703125" customWidth="1"/>
    <col min="10789" max="10789" width="13.140625" customWidth="1"/>
    <col min="10790" max="10790" width="14.28515625" customWidth="1"/>
    <col min="10791" max="10793" width="15" customWidth="1"/>
    <col min="10796" max="10796" width="51" customWidth="1"/>
    <col min="10801" max="10801" width="52.140625" customWidth="1"/>
    <col min="10804" max="10804" width="13.5703125" customWidth="1"/>
    <col min="10806" max="10812" width="12.7109375" customWidth="1"/>
    <col min="10813" max="10813" width="13.5703125" customWidth="1"/>
    <col min="11009" max="11009" width="15" customWidth="1"/>
    <col min="11012" max="11012" width="12.7109375" customWidth="1"/>
    <col min="11014" max="11014" width="15.7109375" customWidth="1"/>
    <col min="11017" max="11017" width="12" customWidth="1"/>
    <col min="11020" max="11020" width="51" customWidth="1"/>
    <col min="11024" max="11024" width="27.5703125" customWidth="1"/>
    <col min="11026" max="11026" width="13" customWidth="1"/>
    <col min="11027" max="11027" width="15.42578125" customWidth="1"/>
    <col min="11029" max="11029" width="12.5703125" customWidth="1"/>
    <col min="11030" max="11030" width="13.28515625" customWidth="1"/>
    <col min="11040" max="11040" width="12.5703125" customWidth="1"/>
    <col min="11045" max="11045" width="13.140625" customWidth="1"/>
    <col min="11046" max="11046" width="14.28515625" customWidth="1"/>
    <col min="11047" max="11049" width="15" customWidth="1"/>
    <col min="11052" max="11052" width="51" customWidth="1"/>
    <col min="11057" max="11057" width="52.140625" customWidth="1"/>
    <col min="11060" max="11060" width="13.5703125" customWidth="1"/>
    <col min="11062" max="11068" width="12.7109375" customWidth="1"/>
    <col min="11069" max="11069" width="13.5703125" customWidth="1"/>
    <col min="11265" max="11265" width="15" customWidth="1"/>
    <col min="11268" max="11268" width="12.7109375" customWidth="1"/>
    <col min="11270" max="11270" width="15.7109375" customWidth="1"/>
    <col min="11273" max="11273" width="12" customWidth="1"/>
    <col min="11276" max="11276" width="51" customWidth="1"/>
    <col min="11280" max="11280" width="27.5703125" customWidth="1"/>
    <col min="11282" max="11282" width="13" customWidth="1"/>
    <col min="11283" max="11283" width="15.42578125" customWidth="1"/>
    <col min="11285" max="11285" width="12.5703125" customWidth="1"/>
    <col min="11286" max="11286" width="13.28515625" customWidth="1"/>
    <col min="11296" max="11296" width="12.5703125" customWidth="1"/>
    <col min="11301" max="11301" width="13.140625" customWidth="1"/>
    <col min="11302" max="11302" width="14.28515625" customWidth="1"/>
    <col min="11303" max="11305" width="15" customWidth="1"/>
    <col min="11308" max="11308" width="51" customWidth="1"/>
    <col min="11313" max="11313" width="52.140625" customWidth="1"/>
    <col min="11316" max="11316" width="13.5703125" customWidth="1"/>
    <col min="11318" max="11324" width="12.7109375" customWidth="1"/>
    <col min="11325" max="11325" width="13.5703125" customWidth="1"/>
    <col min="11521" max="11521" width="15" customWidth="1"/>
    <col min="11524" max="11524" width="12.7109375" customWidth="1"/>
    <col min="11526" max="11526" width="15.7109375" customWidth="1"/>
    <col min="11529" max="11529" width="12" customWidth="1"/>
    <col min="11532" max="11532" width="51" customWidth="1"/>
    <col min="11536" max="11536" width="27.5703125" customWidth="1"/>
    <col min="11538" max="11538" width="13" customWidth="1"/>
    <col min="11539" max="11539" width="15.42578125" customWidth="1"/>
    <col min="11541" max="11541" width="12.5703125" customWidth="1"/>
    <col min="11542" max="11542" width="13.28515625" customWidth="1"/>
    <col min="11552" max="11552" width="12.5703125" customWidth="1"/>
    <col min="11557" max="11557" width="13.140625" customWidth="1"/>
    <col min="11558" max="11558" width="14.28515625" customWidth="1"/>
    <col min="11559" max="11561" width="15" customWidth="1"/>
    <col min="11564" max="11564" width="51" customWidth="1"/>
    <col min="11569" max="11569" width="52.140625" customWidth="1"/>
    <col min="11572" max="11572" width="13.5703125" customWidth="1"/>
    <col min="11574" max="11580" width="12.7109375" customWidth="1"/>
    <col min="11581" max="11581" width="13.5703125" customWidth="1"/>
    <col min="11777" max="11777" width="15" customWidth="1"/>
    <col min="11780" max="11780" width="12.7109375" customWidth="1"/>
    <col min="11782" max="11782" width="15.7109375" customWidth="1"/>
    <col min="11785" max="11785" width="12" customWidth="1"/>
    <col min="11788" max="11788" width="51" customWidth="1"/>
    <col min="11792" max="11792" width="27.5703125" customWidth="1"/>
    <col min="11794" max="11794" width="13" customWidth="1"/>
    <col min="11795" max="11795" width="15.42578125" customWidth="1"/>
    <col min="11797" max="11797" width="12.5703125" customWidth="1"/>
    <col min="11798" max="11798" width="13.28515625" customWidth="1"/>
    <col min="11808" max="11808" width="12.5703125" customWidth="1"/>
    <col min="11813" max="11813" width="13.140625" customWidth="1"/>
    <col min="11814" max="11814" width="14.28515625" customWidth="1"/>
    <col min="11815" max="11817" width="15" customWidth="1"/>
    <col min="11820" max="11820" width="51" customWidth="1"/>
    <col min="11825" max="11825" width="52.140625" customWidth="1"/>
    <col min="11828" max="11828" width="13.5703125" customWidth="1"/>
    <col min="11830" max="11836" width="12.7109375" customWidth="1"/>
    <col min="11837" max="11837" width="13.5703125" customWidth="1"/>
    <col min="12033" max="12033" width="15" customWidth="1"/>
    <col min="12036" max="12036" width="12.7109375" customWidth="1"/>
    <col min="12038" max="12038" width="15.7109375" customWidth="1"/>
    <col min="12041" max="12041" width="12" customWidth="1"/>
    <col min="12044" max="12044" width="51" customWidth="1"/>
    <col min="12048" max="12048" width="27.5703125" customWidth="1"/>
    <col min="12050" max="12050" width="13" customWidth="1"/>
    <col min="12051" max="12051" width="15.42578125" customWidth="1"/>
    <col min="12053" max="12053" width="12.5703125" customWidth="1"/>
    <col min="12054" max="12054" width="13.28515625" customWidth="1"/>
    <col min="12064" max="12064" width="12.5703125" customWidth="1"/>
    <col min="12069" max="12069" width="13.140625" customWidth="1"/>
    <col min="12070" max="12070" width="14.28515625" customWidth="1"/>
    <col min="12071" max="12073" width="15" customWidth="1"/>
    <col min="12076" max="12076" width="51" customWidth="1"/>
    <col min="12081" max="12081" width="52.140625" customWidth="1"/>
    <col min="12084" max="12084" width="13.5703125" customWidth="1"/>
    <col min="12086" max="12092" width="12.7109375" customWidth="1"/>
    <col min="12093" max="12093" width="13.5703125" customWidth="1"/>
    <col min="12289" max="12289" width="15" customWidth="1"/>
    <col min="12292" max="12292" width="12.7109375" customWidth="1"/>
    <col min="12294" max="12294" width="15.7109375" customWidth="1"/>
    <col min="12297" max="12297" width="12" customWidth="1"/>
    <col min="12300" max="12300" width="51" customWidth="1"/>
    <col min="12304" max="12304" width="27.5703125" customWidth="1"/>
    <col min="12306" max="12306" width="13" customWidth="1"/>
    <col min="12307" max="12307" width="15.42578125" customWidth="1"/>
    <col min="12309" max="12309" width="12.5703125" customWidth="1"/>
    <col min="12310" max="12310" width="13.28515625" customWidth="1"/>
    <col min="12320" max="12320" width="12.5703125" customWidth="1"/>
    <col min="12325" max="12325" width="13.140625" customWidth="1"/>
    <col min="12326" max="12326" width="14.28515625" customWidth="1"/>
    <col min="12327" max="12329" width="15" customWidth="1"/>
    <col min="12332" max="12332" width="51" customWidth="1"/>
    <col min="12337" max="12337" width="52.140625" customWidth="1"/>
    <col min="12340" max="12340" width="13.5703125" customWidth="1"/>
    <col min="12342" max="12348" width="12.7109375" customWidth="1"/>
    <col min="12349" max="12349" width="13.5703125" customWidth="1"/>
    <col min="12545" max="12545" width="15" customWidth="1"/>
    <col min="12548" max="12548" width="12.7109375" customWidth="1"/>
    <col min="12550" max="12550" width="15.7109375" customWidth="1"/>
    <col min="12553" max="12553" width="12" customWidth="1"/>
    <col min="12556" max="12556" width="51" customWidth="1"/>
    <col min="12560" max="12560" width="27.5703125" customWidth="1"/>
    <col min="12562" max="12562" width="13" customWidth="1"/>
    <col min="12563" max="12563" width="15.42578125" customWidth="1"/>
    <col min="12565" max="12565" width="12.5703125" customWidth="1"/>
    <col min="12566" max="12566" width="13.28515625" customWidth="1"/>
    <col min="12576" max="12576" width="12.5703125" customWidth="1"/>
    <col min="12581" max="12581" width="13.140625" customWidth="1"/>
    <col min="12582" max="12582" width="14.28515625" customWidth="1"/>
    <col min="12583" max="12585" width="15" customWidth="1"/>
    <col min="12588" max="12588" width="51" customWidth="1"/>
    <col min="12593" max="12593" width="52.140625" customWidth="1"/>
    <col min="12596" max="12596" width="13.5703125" customWidth="1"/>
    <col min="12598" max="12604" width="12.7109375" customWidth="1"/>
    <col min="12605" max="12605" width="13.5703125" customWidth="1"/>
    <col min="12801" max="12801" width="15" customWidth="1"/>
    <col min="12804" max="12804" width="12.7109375" customWidth="1"/>
    <col min="12806" max="12806" width="15.7109375" customWidth="1"/>
    <col min="12809" max="12809" width="12" customWidth="1"/>
    <col min="12812" max="12812" width="51" customWidth="1"/>
    <col min="12816" max="12816" width="27.5703125" customWidth="1"/>
    <col min="12818" max="12818" width="13" customWidth="1"/>
    <col min="12819" max="12819" width="15.42578125" customWidth="1"/>
    <col min="12821" max="12821" width="12.5703125" customWidth="1"/>
    <col min="12822" max="12822" width="13.28515625" customWidth="1"/>
    <col min="12832" max="12832" width="12.5703125" customWidth="1"/>
    <col min="12837" max="12837" width="13.140625" customWidth="1"/>
    <col min="12838" max="12838" width="14.28515625" customWidth="1"/>
    <col min="12839" max="12841" width="15" customWidth="1"/>
    <col min="12844" max="12844" width="51" customWidth="1"/>
    <col min="12849" max="12849" width="52.140625" customWidth="1"/>
    <col min="12852" max="12852" width="13.5703125" customWidth="1"/>
    <col min="12854" max="12860" width="12.7109375" customWidth="1"/>
    <col min="12861" max="12861" width="13.5703125" customWidth="1"/>
    <col min="13057" max="13057" width="15" customWidth="1"/>
    <col min="13060" max="13060" width="12.7109375" customWidth="1"/>
    <col min="13062" max="13062" width="15.7109375" customWidth="1"/>
    <col min="13065" max="13065" width="12" customWidth="1"/>
    <col min="13068" max="13068" width="51" customWidth="1"/>
    <col min="13072" max="13072" width="27.5703125" customWidth="1"/>
    <col min="13074" max="13074" width="13" customWidth="1"/>
    <col min="13075" max="13075" width="15.42578125" customWidth="1"/>
    <col min="13077" max="13077" width="12.5703125" customWidth="1"/>
    <col min="13078" max="13078" width="13.28515625" customWidth="1"/>
    <col min="13088" max="13088" width="12.5703125" customWidth="1"/>
    <col min="13093" max="13093" width="13.140625" customWidth="1"/>
    <col min="13094" max="13094" width="14.28515625" customWidth="1"/>
    <col min="13095" max="13097" width="15" customWidth="1"/>
    <col min="13100" max="13100" width="51" customWidth="1"/>
    <col min="13105" max="13105" width="52.140625" customWidth="1"/>
    <col min="13108" max="13108" width="13.5703125" customWidth="1"/>
    <col min="13110" max="13116" width="12.7109375" customWidth="1"/>
    <col min="13117" max="13117" width="13.5703125" customWidth="1"/>
    <col min="13313" max="13313" width="15" customWidth="1"/>
    <col min="13316" max="13316" width="12.7109375" customWidth="1"/>
    <col min="13318" max="13318" width="15.7109375" customWidth="1"/>
    <col min="13321" max="13321" width="12" customWidth="1"/>
    <col min="13324" max="13324" width="51" customWidth="1"/>
    <col min="13328" max="13328" width="27.5703125" customWidth="1"/>
    <col min="13330" max="13330" width="13" customWidth="1"/>
    <col min="13331" max="13331" width="15.42578125" customWidth="1"/>
    <col min="13333" max="13333" width="12.5703125" customWidth="1"/>
    <col min="13334" max="13334" width="13.28515625" customWidth="1"/>
    <col min="13344" max="13344" width="12.5703125" customWidth="1"/>
    <col min="13349" max="13349" width="13.140625" customWidth="1"/>
    <col min="13350" max="13350" width="14.28515625" customWidth="1"/>
    <col min="13351" max="13353" width="15" customWidth="1"/>
    <col min="13356" max="13356" width="51" customWidth="1"/>
    <col min="13361" max="13361" width="52.140625" customWidth="1"/>
    <col min="13364" max="13364" width="13.5703125" customWidth="1"/>
    <col min="13366" max="13372" width="12.7109375" customWidth="1"/>
    <col min="13373" max="13373" width="13.5703125" customWidth="1"/>
    <col min="13569" max="13569" width="15" customWidth="1"/>
    <col min="13572" max="13572" width="12.7109375" customWidth="1"/>
    <col min="13574" max="13574" width="15.7109375" customWidth="1"/>
    <col min="13577" max="13577" width="12" customWidth="1"/>
    <col min="13580" max="13580" width="51" customWidth="1"/>
    <col min="13584" max="13584" width="27.5703125" customWidth="1"/>
    <col min="13586" max="13586" width="13" customWidth="1"/>
    <col min="13587" max="13587" width="15.42578125" customWidth="1"/>
    <col min="13589" max="13589" width="12.5703125" customWidth="1"/>
    <col min="13590" max="13590" width="13.28515625" customWidth="1"/>
    <col min="13600" max="13600" width="12.5703125" customWidth="1"/>
    <col min="13605" max="13605" width="13.140625" customWidth="1"/>
    <col min="13606" max="13606" width="14.28515625" customWidth="1"/>
    <col min="13607" max="13609" width="15" customWidth="1"/>
    <col min="13612" max="13612" width="51" customWidth="1"/>
    <col min="13617" max="13617" width="52.140625" customWidth="1"/>
    <col min="13620" max="13620" width="13.5703125" customWidth="1"/>
    <col min="13622" max="13628" width="12.7109375" customWidth="1"/>
    <col min="13629" max="13629" width="13.5703125" customWidth="1"/>
    <col min="13825" max="13825" width="15" customWidth="1"/>
    <col min="13828" max="13828" width="12.7109375" customWidth="1"/>
    <col min="13830" max="13830" width="15.7109375" customWidth="1"/>
    <col min="13833" max="13833" width="12" customWidth="1"/>
    <col min="13836" max="13836" width="51" customWidth="1"/>
    <col min="13840" max="13840" width="27.5703125" customWidth="1"/>
    <col min="13842" max="13842" width="13" customWidth="1"/>
    <col min="13843" max="13843" width="15.42578125" customWidth="1"/>
    <col min="13845" max="13845" width="12.5703125" customWidth="1"/>
    <col min="13846" max="13846" width="13.28515625" customWidth="1"/>
    <col min="13856" max="13856" width="12.5703125" customWidth="1"/>
    <col min="13861" max="13861" width="13.140625" customWidth="1"/>
    <col min="13862" max="13862" width="14.28515625" customWidth="1"/>
    <col min="13863" max="13865" width="15" customWidth="1"/>
    <col min="13868" max="13868" width="51" customWidth="1"/>
    <col min="13873" max="13873" width="52.140625" customWidth="1"/>
    <col min="13876" max="13876" width="13.5703125" customWidth="1"/>
    <col min="13878" max="13884" width="12.7109375" customWidth="1"/>
    <col min="13885" max="13885" width="13.5703125" customWidth="1"/>
    <col min="14081" max="14081" width="15" customWidth="1"/>
    <col min="14084" max="14084" width="12.7109375" customWidth="1"/>
    <col min="14086" max="14086" width="15.7109375" customWidth="1"/>
    <col min="14089" max="14089" width="12" customWidth="1"/>
    <col min="14092" max="14092" width="51" customWidth="1"/>
    <col min="14096" max="14096" width="27.5703125" customWidth="1"/>
    <col min="14098" max="14098" width="13" customWidth="1"/>
    <col min="14099" max="14099" width="15.42578125" customWidth="1"/>
    <col min="14101" max="14101" width="12.5703125" customWidth="1"/>
    <col min="14102" max="14102" width="13.28515625" customWidth="1"/>
    <col min="14112" max="14112" width="12.5703125" customWidth="1"/>
    <col min="14117" max="14117" width="13.140625" customWidth="1"/>
    <col min="14118" max="14118" width="14.28515625" customWidth="1"/>
    <col min="14119" max="14121" width="15" customWidth="1"/>
    <col min="14124" max="14124" width="51" customWidth="1"/>
    <col min="14129" max="14129" width="52.140625" customWidth="1"/>
    <col min="14132" max="14132" width="13.5703125" customWidth="1"/>
    <col min="14134" max="14140" width="12.7109375" customWidth="1"/>
    <col min="14141" max="14141" width="13.5703125" customWidth="1"/>
    <col min="14337" max="14337" width="15" customWidth="1"/>
    <col min="14340" max="14340" width="12.7109375" customWidth="1"/>
    <col min="14342" max="14342" width="15.7109375" customWidth="1"/>
    <col min="14345" max="14345" width="12" customWidth="1"/>
    <col min="14348" max="14348" width="51" customWidth="1"/>
    <col min="14352" max="14352" width="27.5703125" customWidth="1"/>
    <col min="14354" max="14354" width="13" customWidth="1"/>
    <col min="14355" max="14355" width="15.42578125" customWidth="1"/>
    <col min="14357" max="14357" width="12.5703125" customWidth="1"/>
    <col min="14358" max="14358" width="13.28515625" customWidth="1"/>
    <col min="14368" max="14368" width="12.5703125" customWidth="1"/>
    <col min="14373" max="14373" width="13.140625" customWidth="1"/>
    <col min="14374" max="14374" width="14.28515625" customWidth="1"/>
    <col min="14375" max="14377" width="15" customWidth="1"/>
    <col min="14380" max="14380" width="51" customWidth="1"/>
    <col min="14385" max="14385" width="52.140625" customWidth="1"/>
    <col min="14388" max="14388" width="13.5703125" customWidth="1"/>
    <col min="14390" max="14396" width="12.7109375" customWidth="1"/>
    <col min="14397" max="14397" width="13.5703125" customWidth="1"/>
    <col min="14593" max="14593" width="15" customWidth="1"/>
    <col min="14596" max="14596" width="12.7109375" customWidth="1"/>
    <col min="14598" max="14598" width="15.7109375" customWidth="1"/>
    <col min="14601" max="14601" width="12" customWidth="1"/>
    <col min="14604" max="14604" width="51" customWidth="1"/>
    <col min="14608" max="14608" width="27.5703125" customWidth="1"/>
    <col min="14610" max="14610" width="13" customWidth="1"/>
    <col min="14611" max="14611" width="15.42578125" customWidth="1"/>
    <col min="14613" max="14613" width="12.5703125" customWidth="1"/>
    <col min="14614" max="14614" width="13.28515625" customWidth="1"/>
    <col min="14624" max="14624" width="12.5703125" customWidth="1"/>
    <col min="14629" max="14629" width="13.140625" customWidth="1"/>
    <col min="14630" max="14630" width="14.28515625" customWidth="1"/>
    <col min="14631" max="14633" width="15" customWidth="1"/>
    <col min="14636" max="14636" width="51" customWidth="1"/>
    <col min="14641" max="14641" width="52.140625" customWidth="1"/>
    <col min="14644" max="14644" width="13.5703125" customWidth="1"/>
    <col min="14646" max="14652" width="12.7109375" customWidth="1"/>
    <col min="14653" max="14653" width="13.5703125" customWidth="1"/>
    <col min="14849" max="14849" width="15" customWidth="1"/>
    <col min="14852" max="14852" width="12.7109375" customWidth="1"/>
    <col min="14854" max="14854" width="15.7109375" customWidth="1"/>
    <col min="14857" max="14857" width="12" customWidth="1"/>
    <col min="14860" max="14860" width="51" customWidth="1"/>
    <col min="14864" max="14864" width="27.5703125" customWidth="1"/>
    <col min="14866" max="14866" width="13" customWidth="1"/>
    <col min="14867" max="14867" width="15.42578125" customWidth="1"/>
    <col min="14869" max="14869" width="12.5703125" customWidth="1"/>
    <col min="14870" max="14870" width="13.28515625" customWidth="1"/>
    <col min="14880" max="14880" width="12.5703125" customWidth="1"/>
    <col min="14885" max="14885" width="13.140625" customWidth="1"/>
    <col min="14886" max="14886" width="14.28515625" customWidth="1"/>
    <col min="14887" max="14889" width="15" customWidth="1"/>
    <col min="14892" max="14892" width="51" customWidth="1"/>
    <col min="14897" max="14897" width="52.140625" customWidth="1"/>
    <col min="14900" max="14900" width="13.5703125" customWidth="1"/>
    <col min="14902" max="14908" width="12.7109375" customWidth="1"/>
    <col min="14909" max="14909" width="13.5703125" customWidth="1"/>
    <col min="15105" max="15105" width="15" customWidth="1"/>
    <col min="15108" max="15108" width="12.7109375" customWidth="1"/>
    <col min="15110" max="15110" width="15.7109375" customWidth="1"/>
    <col min="15113" max="15113" width="12" customWidth="1"/>
    <col min="15116" max="15116" width="51" customWidth="1"/>
    <col min="15120" max="15120" width="27.5703125" customWidth="1"/>
    <col min="15122" max="15122" width="13" customWidth="1"/>
    <col min="15123" max="15123" width="15.42578125" customWidth="1"/>
    <col min="15125" max="15125" width="12.5703125" customWidth="1"/>
    <col min="15126" max="15126" width="13.28515625" customWidth="1"/>
    <col min="15136" max="15136" width="12.5703125" customWidth="1"/>
    <col min="15141" max="15141" width="13.140625" customWidth="1"/>
    <col min="15142" max="15142" width="14.28515625" customWidth="1"/>
    <col min="15143" max="15145" width="15" customWidth="1"/>
    <col min="15148" max="15148" width="51" customWidth="1"/>
    <col min="15153" max="15153" width="52.140625" customWidth="1"/>
    <col min="15156" max="15156" width="13.5703125" customWidth="1"/>
    <col min="15158" max="15164" width="12.7109375" customWidth="1"/>
    <col min="15165" max="15165" width="13.5703125" customWidth="1"/>
    <col min="15361" max="15361" width="15" customWidth="1"/>
    <col min="15364" max="15364" width="12.7109375" customWidth="1"/>
    <col min="15366" max="15366" width="15.7109375" customWidth="1"/>
    <col min="15369" max="15369" width="12" customWidth="1"/>
    <col min="15372" max="15372" width="51" customWidth="1"/>
    <col min="15376" max="15376" width="27.5703125" customWidth="1"/>
    <col min="15378" max="15378" width="13" customWidth="1"/>
    <col min="15379" max="15379" width="15.42578125" customWidth="1"/>
    <col min="15381" max="15381" width="12.5703125" customWidth="1"/>
    <col min="15382" max="15382" width="13.28515625" customWidth="1"/>
    <col min="15392" max="15392" width="12.5703125" customWidth="1"/>
    <col min="15397" max="15397" width="13.140625" customWidth="1"/>
    <col min="15398" max="15398" width="14.28515625" customWidth="1"/>
    <col min="15399" max="15401" width="15" customWidth="1"/>
    <col min="15404" max="15404" width="51" customWidth="1"/>
    <col min="15409" max="15409" width="52.140625" customWidth="1"/>
    <col min="15412" max="15412" width="13.5703125" customWidth="1"/>
    <col min="15414" max="15420" width="12.7109375" customWidth="1"/>
    <col min="15421" max="15421" width="13.5703125" customWidth="1"/>
    <col min="15617" max="15617" width="15" customWidth="1"/>
    <col min="15620" max="15620" width="12.7109375" customWidth="1"/>
    <col min="15622" max="15622" width="15.7109375" customWidth="1"/>
    <col min="15625" max="15625" width="12" customWidth="1"/>
    <col min="15628" max="15628" width="51" customWidth="1"/>
    <col min="15632" max="15632" width="27.5703125" customWidth="1"/>
    <col min="15634" max="15634" width="13" customWidth="1"/>
    <col min="15635" max="15635" width="15.42578125" customWidth="1"/>
    <col min="15637" max="15637" width="12.5703125" customWidth="1"/>
    <col min="15638" max="15638" width="13.28515625" customWidth="1"/>
    <col min="15648" max="15648" width="12.5703125" customWidth="1"/>
    <col min="15653" max="15653" width="13.140625" customWidth="1"/>
    <col min="15654" max="15654" width="14.28515625" customWidth="1"/>
    <col min="15655" max="15657" width="15" customWidth="1"/>
    <col min="15660" max="15660" width="51" customWidth="1"/>
    <col min="15665" max="15665" width="52.140625" customWidth="1"/>
    <col min="15668" max="15668" width="13.5703125" customWidth="1"/>
    <col min="15670" max="15676" width="12.7109375" customWidth="1"/>
    <col min="15677" max="15677" width="13.5703125" customWidth="1"/>
    <col min="15873" max="15873" width="15" customWidth="1"/>
    <col min="15876" max="15876" width="12.7109375" customWidth="1"/>
    <col min="15878" max="15878" width="15.7109375" customWidth="1"/>
    <col min="15881" max="15881" width="12" customWidth="1"/>
    <col min="15884" max="15884" width="51" customWidth="1"/>
    <col min="15888" max="15888" width="27.5703125" customWidth="1"/>
    <col min="15890" max="15890" width="13" customWidth="1"/>
    <col min="15891" max="15891" width="15.42578125" customWidth="1"/>
    <col min="15893" max="15893" width="12.5703125" customWidth="1"/>
    <col min="15894" max="15894" width="13.28515625" customWidth="1"/>
    <col min="15904" max="15904" width="12.5703125" customWidth="1"/>
    <col min="15909" max="15909" width="13.140625" customWidth="1"/>
    <col min="15910" max="15910" width="14.28515625" customWidth="1"/>
    <col min="15911" max="15913" width="15" customWidth="1"/>
    <col min="15916" max="15916" width="51" customWidth="1"/>
    <col min="15921" max="15921" width="52.140625" customWidth="1"/>
    <col min="15924" max="15924" width="13.5703125" customWidth="1"/>
    <col min="15926" max="15932" width="12.7109375" customWidth="1"/>
    <col min="15933" max="15933" width="13.5703125" customWidth="1"/>
    <col min="16129" max="16129" width="15" customWidth="1"/>
    <col min="16132" max="16132" width="12.7109375" customWidth="1"/>
    <col min="16134" max="16134" width="15.7109375" customWidth="1"/>
    <col min="16137" max="16137" width="12" customWidth="1"/>
    <col min="16140" max="16140" width="51" customWidth="1"/>
    <col min="16144" max="16144" width="27.5703125" customWidth="1"/>
    <col min="16146" max="16146" width="13" customWidth="1"/>
    <col min="16147" max="16147" width="15.42578125" customWidth="1"/>
    <col min="16149" max="16149" width="12.5703125" customWidth="1"/>
    <col min="16150" max="16150" width="13.28515625" customWidth="1"/>
    <col min="16160" max="16160" width="12.5703125" customWidth="1"/>
    <col min="16165" max="16165" width="13.140625" customWidth="1"/>
    <col min="16166" max="16166" width="14.28515625" customWidth="1"/>
    <col min="16167" max="16169" width="15" customWidth="1"/>
    <col min="16172" max="16172" width="51" customWidth="1"/>
    <col min="16177" max="16177" width="52.140625" customWidth="1"/>
    <col min="16180" max="16180" width="13.5703125" customWidth="1"/>
    <col min="16182" max="16188" width="12.7109375" customWidth="1"/>
    <col min="16189" max="16189" width="13.5703125" customWidth="1"/>
  </cols>
  <sheetData>
    <row r="1" spans="1:62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9" t="s">
        <v>6</v>
      </c>
      <c r="H1" s="9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9" t="s">
        <v>12</v>
      </c>
      <c r="N1" s="1" t="s">
        <v>13</v>
      </c>
      <c r="O1" t="s">
        <v>14</v>
      </c>
      <c r="P1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t="s">
        <v>23</v>
      </c>
      <c r="Y1" s="5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1" t="s">
        <v>43</v>
      </c>
      <c r="AS1" s="3" t="s">
        <v>44</v>
      </c>
      <c r="AT1" s="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1" t="s">
        <v>51</v>
      </c>
      <c r="BA1" s="1" t="s">
        <v>52</v>
      </c>
      <c r="BB1" s="6" t="s">
        <v>53</v>
      </c>
      <c r="BC1" t="s">
        <v>54</v>
      </c>
      <c r="BD1" t="s">
        <v>55</v>
      </c>
      <c r="BE1" s="7" t="s">
        <v>56</v>
      </c>
      <c r="BF1" s="8" t="s">
        <v>57</v>
      </c>
      <c r="BG1" s="8" t="s">
        <v>58</v>
      </c>
      <c r="BH1" s="8" t="s">
        <v>59</v>
      </c>
      <c r="BI1" s="1" t="s">
        <v>60</v>
      </c>
      <c r="BJ1" t="s">
        <v>61</v>
      </c>
    </row>
    <row r="2" spans="1:62" x14ac:dyDescent="0.25">
      <c r="A2" s="1" t="s">
        <v>72</v>
      </c>
      <c r="B2" t="s">
        <v>75</v>
      </c>
      <c r="C2">
        <v>1</v>
      </c>
      <c r="D2" t="b">
        <v>0</v>
      </c>
      <c r="G2" s="9">
        <v>45387</v>
      </c>
      <c r="H2" s="9">
        <v>45387</v>
      </c>
      <c r="I2" s="1" t="s">
        <v>62</v>
      </c>
      <c r="J2" s="1" t="s">
        <v>73</v>
      </c>
      <c r="K2">
        <v>1036937</v>
      </c>
      <c r="L2" s="1" t="s">
        <v>74</v>
      </c>
      <c r="M2" s="9">
        <v>45560</v>
      </c>
      <c r="N2" s="1" t="s">
        <v>62</v>
      </c>
      <c r="O2" t="s">
        <v>69</v>
      </c>
      <c r="P2" t="s">
        <v>76</v>
      </c>
      <c r="Q2">
        <v>45.35</v>
      </c>
      <c r="R2">
        <v>0</v>
      </c>
      <c r="S2">
        <v>15</v>
      </c>
      <c r="T2">
        <f t="shared" ref="T2:T15" si="0">ROUND(R2*S2/100,2)</f>
        <v>0</v>
      </c>
      <c r="AG2" s="10" t="s">
        <v>70</v>
      </c>
      <c r="AH2">
        <f t="shared" ref="AH2:AH15" si="1">Q2+R2+U2+X2+Y2</f>
        <v>45.35</v>
      </c>
      <c r="AI2">
        <v>0</v>
      </c>
      <c r="AJ2">
        <v>0</v>
      </c>
      <c r="AP2" t="s">
        <v>66</v>
      </c>
      <c r="AR2" s="1" t="s">
        <v>66</v>
      </c>
      <c r="AT2" s="1" t="s">
        <v>66</v>
      </c>
      <c r="AU2" t="s">
        <v>66</v>
      </c>
      <c r="AW2" t="s">
        <v>66</v>
      </c>
      <c r="AX2" t="s">
        <v>66</v>
      </c>
      <c r="AY2" t="s">
        <v>67</v>
      </c>
      <c r="AZ2" s="10" t="s">
        <v>62</v>
      </c>
    </row>
    <row r="3" spans="1:62" x14ac:dyDescent="0.25">
      <c r="A3" s="1" t="s">
        <v>72</v>
      </c>
      <c r="B3" t="s">
        <v>75</v>
      </c>
      <c r="C3">
        <v>1</v>
      </c>
      <c r="D3" t="b">
        <v>0</v>
      </c>
      <c r="G3" s="9">
        <v>45387</v>
      </c>
      <c r="H3" s="9">
        <v>45387</v>
      </c>
      <c r="I3" s="1" t="s">
        <v>62</v>
      </c>
      <c r="J3" s="1" t="s">
        <v>73</v>
      </c>
      <c r="K3">
        <v>1036938</v>
      </c>
      <c r="L3" s="1" t="s">
        <v>74</v>
      </c>
      <c r="M3" s="9">
        <v>45560</v>
      </c>
      <c r="N3" s="1" t="s">
        <v>62</v>
      </c>
      <c r="O3" t="s">
        <v>69</v>
      </c>
      <c r="P3" t="s">
        <v>76</v>
      </c>
      <c r="Q3">
        <v>1.41</v>
      </c>
      <c r="R3">
        <v>0</v>
      </c>
      <c r="S3">
        <v>15</v>
      </c>
      <c r="T3">
        <f t="shared" si="0"/>
        <v>0</v>
      </c>
      <c r="AG3" s="10" t="s">
        <v>70</v>
      </c>
      <c r="AH3">
        <f t="shared" si="1"/>
        <v>1.41</v>
      </c>
      <c r="AI3">
        <v>0</v>
      </c>
      <c r="AJ3">
        <v>0</v>
      </c>
      <c r="AP3" t="s">
        <v>66</v>
      </c>
      <c r="AR3" s="1" t="s">
        <v>66</v>
      </c>
      <c r="AT3" s="1" t="s">
        <v>66</v>
      </c>
      <c r="AU3" t="s">
        <v>66</v>
      </c>
      <c r="AW3" t="s">
        <v>66</v>
      </c>
      <c r="AX3" t="s">
        <v>66</v>
      </c>
      <c r="AY3" t="s">
        <v>67</v>
      </c>
      <c r="AZ3" s="10" t="s">
        <v>62</v>
      </c>
    </row>
    <row r="4" spans="1:62" x14ac:dyDescent="0.25">
      <c r="A4" s="1" t="s">
        <v>77</v>
      </c>
      <c r="B4" t="s">
        <v>78</v>
      </c>
      <c r="C4">
        <v>1</v>
      </c>
      <c r="D4" t="b">
        <v>0</v>
      </c>
      <c r="G4" s="9">
        <v>45387</v>
      </c>
      <c r="H4" s="9">
        <v>45387</v>
      </c>
      <c r="I4" s="1" t="s">
        <v>62</v>
      </c>
      <c r="J4" s="1" t="s">
        <v>79</v>
      </c>
      <c r="K4">
        <v>6634435</v>
      </c>
      <c r="L4" s="1" t="s">
        <v>80</v>
      </c>
      <c r="M4" s="9">
        <v>45594</v>
      </c>
      <c r="N4" s="1" t="s">
        <v>62</v>
      </c>
      <c r="O4" t="s">
        <v>69</v>
      </c>
      <c r="P4" t="s">
        <v>81</v>
      </c>
      <c r="Q4">
        <v>59.23</v>
      </c>
      <c r="R4">
        <v>0</v>
      </c>
      <c r="S4">
        <v>15</v>
      </c>
      <c r="T4">
        <f t="shared" si="0"/>
        <v>0</v>
      </c>
      <c r="AG4" s="10" t="s">
        <v>70</v>
      </c>
      <c r="AH4">
        <f t="shared" si="1"/>
        <v>59.23</v>
      </c>
      <c r="AI4">
        <v>0</v>
      </c>
      <c r="AJ4">
        <v>0</v>
      </c>
      <c r="AP4" t="s">
        <v>66</v>
      </c>
      <c r="AR4" s="1" t="s">
        <v>66</v>
      </c>
      <c r="AT4" s="1" t="s">
        <v>66</v>
      </c>
      <c r="AU4" t="s">
        <v>66</v>
      </c>
      <c r="AW4" t="s">
        <v>66</v>
      </c>
      <c r="AX4" t="s">
        <v>66</v>
      </c>
      <c r="AY4" t="s">
        <v>67</v>
      </c>
      <c r="AZ4" s="10" t="s">
        <v>62</v>
      </c>
    </row>
    <row r="5" spans="1:62" x14ac:dyDescent="0.25">
      <c r="A5" s="1" t="s">
        <v>77</v>
      </c>
      <c r="B5" t="s">
        <v>78</v>
      </c>
      <c r="C5">
        <v>1</v>
      </c>
      <c r="D5" t="b">
        <v>0</v>
      </c>
      <c r="G5" s="9">
        <v>45387</v>
      </c>
      <c r="H5" s="9">
        <v>45387</v>
      </c>
      <c r="I5" s="1" t="s">
        <v>62</v>
      </c>
      <c r="J5" s="1" t="s">
        <v>79</v>
      </c>
      <c r="K5">
        <v>6634344</v>
      </c>
      <c r="L5" s="1" t="s">
        <v>80</v>
      </c>
      <c r="M5" s="9">
        <v>45594</v>
      </c>
      <c r="N5" s="1" t="s">
        <v>62</v>
      </c>
      <c r="O5" t="s">
        <v>69</v>
      </c>
      <c r="P5" t="s">
        <v>81</v>
      </c>
      <c r="Q5">
        <v>1.67</v>
      </c>
      <c r="R5">
        <v>0</v>
      </c>
      <c r="S5">
        <v>15</v>
      </c>
      <c r="T5">
        <f t="shared" si="0"/>
        <v>0</v>
      </c>
      <c r="AG5" s="10" t="s">
        <v>70</v>
      </c>
      <c r="AH5">
        <f t="shared" si="1"/>
        <v>1.67</v>
      </c>
      <c r="AI5">
        <v>0</v>
      </c>
      <c r="AJ5">
        <v>0</v>
      </c>
      <c r="AP5" t="s">
        <v>66</v>
      </c>
      <c r="AR5" s="1" t="s">
        <v>66</v>
      </c>
      <c r="AT5" s="1" t="s">
        <v>66</v>
      </c>
      <c r="AU5" t="s">
        <v>66</v>
      </c>
      <c r="AW5" t="s">
        <v>66</v>
      </c>
      <c r="AX5" t="s">
        <v>66</v>
      </c>
      <c r="AY5" t="s">
        <v>67</v>
      </c>
      <c r="AZ5" s="10" t="s">
        <v>62</v>
      </c>
    </row>
    <row r="6" spans="1:62" x14ac:dyDescent="0.25">
      <c r="A6" s="1" t="s">
        <v>82</v>
      </c>
      <c r="B6" t="s">
        <v>83</v>
      </c>
      <c r="C6">
        <v>1</v>
      </c>
      <c r="D6" t="b">
        <v>0</v>
      </c>
      <c r="G6" s="9">
        <v>45388</v>
      </c>
      <c r="H6" s="9">
        <v>45388</v>
      </c>
      <c r="I6" s="1" t="s">
        <v>62</v>
      </c>
      <c r="J6" s="1" t="s">
        <v>63</v>
      </c>
      <c r="K6">
        <v>21117954</v>
      </c>
      <c r="L6" s="1" t="s">
        <v>84</v>
      </c>
      <c r="M6" s="9">
        <v>45566</v>
      </c>
      <c r="N6" s="1" t="s">
        <v>62</v>
      </c>
      <c r="O6" t="s">
        <v>64</v>
      </c>
      <c r="P6" t="s">
        <v>85</v>
      </c>
      <c r="Q6">
        <v>0</v>
      </c>
      <c r="R6">
        <v>6.49</v>
      </c>
      <c r="S6">
        <v>15</v>
      </c>
      <c r="T6">
        <f t="shared" si="0"/>
        <v>0.97</v>
      </c>
      <c r="AG6" s="10" t="s">
        <v>70</v>
      </c>
      <c r="AH6">
        <f t="shared" si="1"/>
        <v>6.49</v>
      </c>
      <c r="AI6">
        <v>0</v>
      </c>
      <c r="AJ6">
        <v>0</v>
      </c>
      <c r="AP6" t="s">
        <v>66</v>
      </c>
      <c r="AR6" s="1" t="s">
        <v>66</v>
      </c>
      <c r="AT6" s="1" t="s">
        <v>66</v>
      </c>
      <c r="AU6" t="s">
        <v>66</v>
      </c>
      <c r="AW6" t="s">
        <v>66</v>
      </c>
      <c r="AX6" t="s">
        <v>66</v>
      </c>
      <c r="AY6" t="s">
        <v>67</v>
      </c>
      <c r="AZ6" s="10" t="s">
        <v>62</v>
      </c>
    </row>
    <row r="7" spans="1:62" x14ac:dyDescent="0.25">
      <c r="A7" s="1" t="s">
        <v>82</v>
      </c>
      <c r="B7" t="s">
        <v>83</v>
      </c>
      <c r="C7">
        <v>1</v>
      </c>
      <c r="D7" t="b">
        <v>0</v>
      </c>
      <c r="G7" s="9">
        <v>45388</v>
      </c>
      <c r="H7" s="9">
        <v>45388</v>
      </c>
      <c r="I7" s="1" t="s">
        <v>62</v>
      </c>
      <c r="J7" s="1" t="s">
        <v>63</v>
      </c>
      <c r="K7">
        <v>21117955</v>
      </c>
      <c r="L7" s="1" t="s">
        <v>84</v>
      </c>
      <c r="M7" s="9">
        <v>45566</v>
      </c>
      <c r="N7" s="1" t="s">
        <v>62</v>
      </c>
      <c r="O7" t="s">
        <v>64</v>
      </c>
      <c r="P7" t="s">
        <v>85</v>
      </c>
      <c r="Q7">
        <v>0</v>
      </c>
      <c r="R7">
        <v>15.46</v>
      </c>
      <c r="S7">
        <v>15</v>
      </c>
      <c r="T7">
        <f t="shared" si="0"/>
        <v>2.3199999999999998</v>
      </c>
      <c r="AG7" s="10" t="s">
        <v>70</v>
      </c>
      <c r="AH7">
        <f t="shared" si="1"/>
        <v>15.46</v>
      </c>
      <c r="AI7">
        <v>0</v>
      </c>
      <c r="AJ7">
        <v>0</v>
      </c>
      <c r="AP7" t="s">
        <v>66</v>
      </c>
      <c r="AR7" s="1" t="s">
        <v>66</v>
      </c>
      <c r="AT7" s="1" t="s">
        <v>66</v>
      </c>
      <c r="AU7" t="s">
        <v>66</v>
      </c>
      <c r="AW7" t="s">
        <v>66</v>
      </c>
      <c r="AX7" t="s">
        <v>66</v>
      </c>
      <c r="AY7" t="s">
        <v>67</v>
      </c>
      <c r="AZ7" s="10" t="s">
        <v>62</v>
      </c>
    </row>
    <row r="8" spans="1:62" x14ac:dyDescent="0.25">
      <c r="A8" s="1" t="s">
        <v>82</v>
      </c>
      <c r="B8" t="s">
        <v>83</v>
      </c>
      <c r="C8">
        <v>1</v>
      </c>
      <c r="D8" t="b">
        <v>0</v>
      </c>
      <c r="G8" s="9">
        <v>45388</v>
      </c>
      <c r="H8" s="9">
        <v>45388</v>
      </c>
      <c r="I8" s="1" t="s">
        <v>62</v>
      </c>
      <c r="J8" s="1" t="s">
        <v>63</v>
      </c>
      <c r="K8">
        <v>21117958</v>
      </c>
      <c r="L8" s="1" t="s">
        <v>84</v>
      </c>
      <c r="M8" s="9">
        <v>45566</v>
      </c>
      <c r="N8" s="1" t="s">
        <v>62</v>
      </c>
      <c r="O8" t="s">
        <v>64</v>
      </c>
      <c r="P8" t="s">
        <v>85</v>
      </c>
      <c r="Q8">
        <v>0</v>
      </c>
      <c r="R8">
        <v>49.79</v>
      </c>
      <c r="S8">
        <v>15</v>
      </c>
      <c r="T8">
        <f t="shared" si="0"/>
        <v>7.47</v>
      </c>
      <c r="AG8" s="10" t="s">
        <v>70</v>
      </c>
      <c r="AH8">
        <f t="shared" si="1"/>
        <v>49.79</v>
      </c>
      <c r="AI8">
        <v>0</v>
      </c>
      <c r="AJ8">
        <v>0</v>
      </c>
      <c r="AP8" t="s">
        <v>66</v>
      </c>
      <c r="AR8" s="1" t="s">
        <v>66</v>
      </c>
      <c r="AT8" s="1" t="s">
        <v>66</v>
      </c>
      <c r="AU8" t="s">
        <v>66</v>
      </c>
      <c r="AW8" t="s">
        <v>66</v>
      </c>
      <c r="AX8" t="s">
        <v>66</v>
      </c>
      <c r="AY8" t="s">
        <v>67</v>
      </c>
      <c r="AZ8" s="10" t="s">
        <v>62</v>
      </c>
    </row>
    <row r="9" spans="1:62" x14ac:dyDescent="0.25">
      <c r="A9" s="1" t="s">
        <v>82</v>
      </c>
      <c r="B9" t="s">
        <v>83</v>
      </c>
      <c r="C9">
        <v>1</v>
      </c>
      <c r="D9" t="b">
        <v>0</v>
      </c>
      <c r="G9" s="9">
        <v>45388</v>
      </c>
      <c r="H9" s="9">
        <v>45388</v>
      </c>
      <c r="I9" s="1" t="s">
        <v>62</v>
      </c>
      <c r="J9" s="1" t="s">
        <v>63</v>
      </c>
      <c r="K9">
        <v>21117966</v>
      </c>
      <c r="L9" s="1" t="s">
        <v>84</v>
      </c>
      <c r="M9" s="9">
        <v>45566</v>
      </c>
      <c r="N9" s="1" t="s">
        <v>62</v>
      </c>
      <c r="O9" t="s">
        <v>64</v>
      </c>
      <c r="P9" t="s">
        <v>85</v>
      </c>
      <c r="Q9">
        <v>0</v>
      </c>
      <c r="R9">
        <v>7.15</v>
      </c>
      <c r="S9">
        <v>15</v>
      </c>
      <c r="T9">
        <f t="shared" si="0"/>
        <v>1.07</v>
      </c>
      <c r="AG9" s="10" t="s">
        <v>70</v>
      </c>
      <c r="AH9">
        <f t="shared" si="1"/>
        <v>7.15</v>
      </c>
      <c r="AI9">
        <v>0</v>
      </c>
      <c r="AJ9">
        <v>0</v>
      </c>
      <c r="AP9" t="s">
        <v>66</v>
      </c>
      <c r="AR9" s="1" t="s">
        <v>66</v>
      </c>
      <c r="AT9" s="1" t="s">
        <v>66</v>
      </c>
      <c r="AU9" t="s">
        <v>66</v>
      </c>
      <c r="AW9" t="s">
        <v>66</v>
      </c>
      <c r="AX9" t="s">
        <v>66</v>
      </c>
      <c r="AY9" t="s">
        <v>67</v>
      </c>
      <c r="AZ9" s="10" t="s">
        <v>62</v>
      </c>
    </row>
    <row r="10" spans="1:62" x14ac:dyDescent="0.25">
      <c r="A10" s="1" t="s">
        <v>82</v>
      </c>
      <c r="B10" t="s">
        <v>83</v>
      </c>
      <c r="C10">
        <v>1</v>
      </c>
      <c r="D10" t="b">
        <v>0</v>
      </c>
      <c r="G10" s="9">
        <v>45388</v>
      </c>
      <c r="H10" s="9">
        <v>45388</v>
      </c>
      <c r="I10" s="1" t="s">
        <v>62</v>
      </c>
      <c r="J10" s="1" t="s">
        <v>63</v>
      </c>
      <c r="K10">
        <v>21117947</v>
      </c>
      <c r="L10" s="1" t="s">
        <v>84</v>
      </c>
      <c r="M10" s="9">
        <v>45566</v>
      </c>
      <c r="N10" s="1" t="s">
        <v>62</v>
      </c>
      <c r="O10" t="s">
        <v>64</v>
      </c>
      <c r="P10" t="s">
        <v>85</v>
      </c>
      <c r="Q10">
        <v>0</v>
      </c>
      <c r="R10">
        <v>6.2</v>
      </c>
      <c r="S10">
        <v>15</v>
      </c>
      <c r="T10">
        <f t="shared" si="0"/>
        <v>0.93</v>
      </c>
      <c r="AG10" s="10" t="s">
        <v>70</v>
      </c>
      <c r="AH10">
        <f t="shared" si="1"/>
        <v>6.2</v>
      </c>
      <c r="AI10">
        <v>0</v>
      </c>
      <c r="AJ10">
        <v>0</v>
      </c>
      <c r="AP10" t="s">
        <v>66</v>
      </c>
      <c r="AR10" s="1" t="s">
        <v>66</v>
      </c>
      <c r="AT10" s="1" t="s">
        <v>66</v>
      </c>
      <c r="AU10" t="s">
        <v>66</v>
      </c>
      <c r="AW10" t="s">
        <v>66</v>
      </c>
      <c r="AX10" t="s">
        <v>66</v>
      </c>
      <c r="AY10" t="s">
        <v>67</v>
      </c>
      <c r="AZ10" s="10" t="s">
        <v>62</v>
      </c>
    </row>
    <row r="11" spans="1:62" s="12" customFormat="1" x14ac:dyDescent="0.25">
      <c r="A11" s="11" t="s">
        <v>86</v>
      </c>
      <c r="B11" s="12" t="s">
        <v>71</v>
      </c>
      <c r="C11" s="12">
        <v>1</v>
      </c>
      <c r="D11" s="12" t="b">
        <v>0</v>
      </c>
      <c r="E11" s="11"/>
      <c r="F11" s="11"/>
      <c r="G11" s="13">
        <v>45412</v>
      </c>
      <c r="H11" s="13">
        <v>45412</v>
      </c>
      <c r="I11" s="11" t="s">
        <v>87</v>
      </c>
      <c r="J11" s="11" t="s">
        <v>63</v>
      </c>
      <c r="K11" s="12">
        <v>209</v>
      </c>
      <c r="L11" s="11" t="s">
        <v>88</v>
      </c>
      <c r="M11" s="13">
        <v>45647</v>
      </c>
      <c r="N11" s="11" t="s">
        <v>62</v>
      </c>
      <c r="O11" s="12" t="s">
        <v>69</v>
      </c>
      <c r="P11" s="14" t="s">
        <v>89</v>
      </c>
      <c r="Q11" s="12">
        <v>0</v>
      </c>
      <c r="R11" s="12">
        <v>300</v>
      </c>
      <c r="S11" s="15">
        <v>15</v>
      </c>
      <c r="T11" s="15">
        <f t="shared" si="0"/>
        <v>45</v>
      </c>
      <c r="AG11" s="11"/>
      <c r="AH11" s="15"/>
      <c r="AR11" s="11"/>
      <c r="AS11" s="16"/>
      <c r="AT11" s="11" t="s">
        <v>62</v>
      </c>
      <c r="AU11" s="12" t="s">
        <v>63</v>
      </c>
      <c r="AV11" s="12">
        <v>305</v>
      </c>
      <c r="AW11" s="11" t="s">
        <v>90</v>
      </c>
      <c r="AX11" s="12" t="s">
        <v>66</v>
      </c>
      <c r="AY11" s="12" t="s">
        <v>67</v>
      </c>
      <c r="AZ11" s="11" t="s">
        <v>62</v>
      </c>
      <c r="BA11" s="11"/>
      <c r="BI11" s="11"/>
    </row>
    <row r="12" spans="1:62" s="18" customFormat="1" x14ac:dyDescent="0.25">
      <c r="A12" s="26" t="s">
        <v>107</v>
      </c>
      <c r="B12" s="18" t="s">
        <v>101</v>
      </c>
      <c r="C12" s="18">
        <v>1</v>
      </c>
      <c r="D12" s="18" t="b">
        <v>0</v>
      </c>
      <c r="E12" s="19"/>
      <c r="F12" s="19"/>
      <c r="G12" s="20">
        <v>45412</v>
      </c>
      <c r="H12" s="20">
        <v>45412</v>
      </c>
      <c r="I12" s="17" t="s">
        <v>62</v>
      </c>
      <c r="J12" s="17" t="s">
        <v>63</v>
      </c>
      <c r="K12" s="18">
        <v>78787887</v>
      </c>
      <c r="L12" s="17" t="s">
        <v>91</v>
      </c>
      <c r="M12" s="20">
        <v>45647</v>
      </c>
      <c r="N12" s="19" t="s">
        <v>62</v>
      </c>
      <c r="O12" s="18" t="s">
        <v>69</v>
      </c>
      <c r="P12" s="21" t="s">
        <v>92</v>
      </c>
      <c r="Q12" s="18">
        <v>100</v>
      </c>
      <c r="R12" s="18">
        <v>0</v>
      </c>
      <c r="S12" s="22">
        <v>15</v>
      </c>
      <c r="T12" s="22">
        <f t="shared" si="0"/>
        <v>0</v>
      </c>
      <c r="AG12" s="17"/>
      <c r="AH12" s="22"/>
      <c r="AR12" s="17"/>
      <c r="AS12" s="23"/>
      <c r="AT12" s="17"/>
      <c r="AV12" s="17"/>
      <c r="AW12" s="18" t="s">
        <v>66</v>
      </c>
      <c r="AY12" s="18" t="s">
        <v>67</v>
      </c>
      <c r="AZ12" s="19" t="s">
        <v>62</v>
      </c>
      <c r="BA12" s="17" t="s">
        <v>93</v>
      </c>
      <c r="BE12" s="24" t="s">
        <v>62</v>
      </c>
      <c r="BF12" s="17" t="s">
        <v>93</v>
      </c>
      <c r="BI12" s="19" t="s">
        <v>62</v>
      </c>
    </row>
    <row r="13" spans="1:62" s="18" customFormat="1" x14ac:dyDescent="0.25">
      <c r="A13" s="26" t="s">
        <v>108</v>
      </c>
      <c r="B13" s="18" t="s">
        <v>102</v>
      </c>
      <c r="C13" s="18">
        <v>1</v>
      </c>
      <c r="D13" s="18" t="b">
        <v>0</v>
      </c>
      <c r="E13" s="19"/>
      <c r="F13" s="19"/>
      <c r="G13" s="20">
        <v>45412</v>
      </c>
      <c r="H13" s="20">
        <v>45412</v>
      </c>
      <c r="I13" s="17" t="s">
        <v>62</v>
      </c>
      <c r="J13" s="17" t="s">
        <v>63</v>
      </c>
      <c r="K13" s="18">
        <v>232323</v>
      </c>
      <c r="L13" s="17" t="s">
        <v>91</v>
      </c>
      <c r="M13" s="20">
        <v>45647</v>
      </c>
      <c r="N13" s="19" t="s">
        <v>62</v>
      </c>
      <c r="O13" s="18" t="s">
        <v>69</v>
      </c>
      <c r="P13" s="21" t="s">
        <v>92</v>
      </c>
      <c r="Q13" s="18">
        <v>100</v>
      </c>
      <c r="R13" s="18">
        <v>0</v>
      </c>
      <c r="S13" s="22">
        <v>15</v>
      </c>
      <c r="T13" s="22">
        <f t="shared" si="0"/>
        <v>0</v>
      </c>
      <c r="AG13" s="17"/>
      <c r="AH13" s="22"/>
      <c r="AR13" s="17"/>
      <c r="AS13" s="23"/>
      <c r="AT13" s="17"/>
      <c r="AV13" s="17"/>
      <c r="AY13" s="18" t="s">
        <v>67</v>
      </c>
      <c r="AZ13" s="19" t="s">
        <v>62</v>
      </c>
      <c r="BA13" s="17" t="s">
        <v>94</v>
      </c>
      <c r="BE13" s="24" t="s">
        <v>62</v>
      </c>
      <c r="BF13" s="17" t="s">
        <v>94</v>
      </c>
      <c r="BG13" s="24"/>
      <c r="BI13" s="19" t="s">
        <v>62</v>
      </c>
    </row>
    <row r="14" spans="1:62" s="18" customFormat="1" x14ac:dyDescent="0.25">
      <c r="A14" s="26" t="s">
        <v>106</v>
      </c>
      <c r="B14" s="18" t="s">
        <v>103</v>
      </c>
      <c r="C14" s="18">
        <v>1</v>
      </c>
      <c r="D14" s="18" t="b">
        <v>0</v>
      </c>
      <c r="E14" s="19"/>
      <c r="F14" s="19"/>
      <c r="G14" s="20">
        <v>45412</v>
      </c>
      <c r="H14" s="20">
        <v>45412</v>
      </c>
      <c r="I14" s="17" t="s">
        <v>62</v>
      </c>
      <c r="J14" s="17" t="s">
        <v>63</v>
      </c>
      <c r="K14" s="18">
        <v>65656</v>
      </c>
      <c r="L14" s="17" t="s">
        <v>91</v>
      </c>
      <c r="M14" s="20">
        <v>45647</v>
      </c>
      <c r="N14" s="19" t="s">
        <v>62</v>
      </c>
      <c r="O14" s="18" t="s">
        <v>69</v>
      </c>
      <c r="P14" s="21" t="s">
        <v>92</v>
      </c>
      <c r="Q14" s="18">
        <v>100</v>
      </c>
      <c r="R14" s="18">
        <v>0</v>
      </c>
      <c r="S14" s="22">
        <v>15</v>
      </c>
      <c r="T14" s="22">
        <f t="shared" si="0"/>
        <v>0</v>
      </c>
      <c r="AG14" s="17"/>
      <c r="AH14" s="22"/>
      <c r="AR14" s="17"/>
      <c r="AS14" s="23"/>
      <c r="AT14" s="17"/>
      <c r="AV14" s="17"/>
      <c r="AW14" s="18" t="s">
        <v>66</v>
      </c>
      <c r="AY14" s="18" t="s">
        <v>67</v>
      </c>
      <c r="AZ14" s="19" t="s">
        <v>62</v>
      </c>
      <c r="BA14" s="19" t="s">
        <v>95</v>
      </c>
      <c r="BE14" s="24" t="s">
        <v>62</v>
      </c>
      <c r="BF14" s="19" t="s">
        <v>95</v>
      </c>
      <c r="BG14" s="24"/>
      <c r="BI14" s="19" t="s">
        <v>62</v>
      </c>
    </row>
    <row r="15" spans="1:62" s="22" customFormat="1" x14ac:dyDescent="0.25">
      <c r="A15" s="26" t="s">
        <v>105</v>
      </c>
      <c r="B15" s="22" t="s">
        <v>104</v>
      </c>
      <c r="C15" s="22">
        <v>1</v>
      </c>
      <c r="D15" s="22" t="b">
        <v>0</v>
      </c>
      <c r="E15" s="17"/>
      <c r="F15" s="17"/>
      <c r="G15" s="20">
        <v>45387</v>
      </c>
      <c r="H15" s="20">
        <v>45387</v>
      </c>
      <c r="I15" s="17" t="s">
        <v>62</v>
      </c>
      <c r="J15" s="17" t="s">
        <v>98</v>
      </c>
      <c r="K15" s="22">
        <v>9999999</v>
      </c>
      <c r="L15" s="17" t="s">
        <v>99</v>
      </c>
      <c r="M15" s="20">
        <v>45721</v>
      </c>
      <c r="N15" s="25" t="s">
        <v>62</v>
      </c>
      <c r="O15" s="18" t="s">
        <v>69</v>
      </c>
      <c r="P15" s="18" t="s">
        <v>97</v>
      </c>
      <c r="Q15" s="22">
        <v>300</v>
      </c>
      <c r="R15" s="22">
        <v>0</v>
      </c>
      <c r="S15" s="22">
        <v>15</v>
      </c>
      <c r="T15" s="22">
        <f t="shared" si="0"/>
        <v>0</v>
      </c>
      <c r="AG15" s="17" t="s">
        <v>100</v>
      </c>
      <c r="AH15" s="22">
        <f t="shared" si="1"/>
        <v>300</v>
      </c>
      <c r="AI15" s="22">
        <v>1</v>
      </c>
      <c r="AJ15" s="22">
        <v>3</v>
      </c>
      <c r="AP15" s="22" t="s">
        <v>63</v>
      </c>
      <c r="AQ15" s="22">
        <v>13000</v>
      </c>
      <c r="AR15" s="25" t="s">
        <v>65</v>
      </c>
      <c r="AS15" s="23">
        <v>45387</v>
      </c>
      <c r="AT15" s="25" t="s">
        <v>66</v>
      </c>
      <c r="AU15" s="22" t="s">
        <v>66</v>
      </c>
      <c r="AW15" s="22" t="s">
        <v>66</v>
      </c>
      <c r="AX15" s="22" t="s">
        <v>66</v>
      </c>
      <c r="AY15" s="22" t="s">
        <v>67</v>
      </c>
      <c r="AZ15" s="17" t="s">
        <v>62</v>
      </c>
      <c r="BA15" s="10" t="s">
        <v>96</v>
      </c>
      <c r="BB15"/>
      <c r="BC15"/>
      <c r="BD15"/>
      <c r="BE15" s="24" t="s">
        <v>62</v>
      </c>
      <c r="BF15" s="10" t="s">
        <v>96</v>
      </c>
      <c r="BG15"/>
      <c r="BH15"/>
      <c r="BI15" s="19" t="s">
        <v>68</v>
      </c>
    </row>
    <row r="16" spans="1:62" x14ac:dyDescent="0.25">
      <c r="AG16" s="10"/>
      <c r="AZ16" s="10"/>
    </row>
    <row r="17" spans="33:52" x14ac:dyDescent="0.25">
      <c r="AG17" s="10"/>
      <c r="AZ17" s="10"/>
    </row>
    <row r="18" spans="33:52" x14ac:dyDescent="0.25">
      <c r="AG18" s="10"/>
      <c r="AZ18" s="10"/>
    </row>
    <row r="19" spans="33:52" x14ac:dyDescent="0.25">
      <c r="AG19" s="10"/>
      <c r="AZ19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2026-08-17T14:24:47Z</dcterms:created>
  <dcterms:modified xsi:type="dcterms:W3CDTF">2026-08-18T21:15:55Z</dcterms:modified>
</cp:coreProperties>
</file>